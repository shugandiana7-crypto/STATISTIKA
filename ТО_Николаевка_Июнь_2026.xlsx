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urzhan\Desktop\"/>
    </mc:Choice>
  </mc:AlternateContent>
  <bookViews>
    <workbookView xWindow="0" yWindow="0" windowWidth="19200" windowHeight="6345"/>
  </bookViews>
  <sheets>
    <sheet name="ТО Июнь 2026 Николаевка" sheetId="1" r:id="rId1"/>
    <sheet name="Артикулы по моделям" sheetId="2" r:id="rId2"/>
  </sheets>
  <calcPr calcId="162913"/>
</workbook>
</file>

<file path=xl/calcChain.xml><?xml version="1.0" encoding="utf-8"?>
<calcChain xmlns="http://schemas.openxmlformats.org/spreadsheetml/2006/main">
  <c r="F113" i="1" l="1"/>
  <c r="O113" i="1" l="1"/>
  <c r="N113" i="1"/>
  <c r="M113" i="1"/>
  <c r="L113" i="1"/>
  <c r="K113" i="1"/>
  <c r="J113" i="1"/>
  <c r="I113" i="1"/>
  <c r="H113" i="1"/>
  <c r="G113" i="1"/>
  <c r="N75" i="1"/>
  <c r="M75" i="1"/>
  <c r="L75" i="1"/>
  <c r="K75" i="1"/>
  <c r="J75" i="1"/>
  <c r="I75" i="1"/>
  <c r="H75" i="1"/>
  <c r="G75" i="1"/>
  <c r="F75" i="1"/>
  <c r="O109" i="1"/>
  <c r="N109" i="1"/>
  <c r="M109" i="1"/>
  <c r="L109" i="1"/>
  <c r="K109" i="1"/>
  <c r="J109" i="1"/>
  <c r="I109" i="1"/>
  <c r="H109" i="1"/>
  <c r="G109" i="1"/>
  <c r="F109" i="1"/>
  <c r="O104" i="1"/>
  <c r="N104" i="1"/>
  <c r="M104" i="1"/>
  <c r="L104" i="1"/>
  <c r="K104" i="1"/>
  <c r="J104" i="1"/>
  <c r="I104" i="1"/>
  <c r="H104" i="1"/>
  <c r="G104" i="1"/>
  <c r="F104" i="1"/>
  <c r="O101" i="1"/>
  <c r="N101" i="1"/>
  <c r="M101" i="1"/>
  <c r="L101" i="1"/>
  <c r="K101" i="1"/>
  <c r="J101" i="1"/>
  <c r="I101" i="1"/>
  <c r="H101" i="1"/>
  <c r="G101" i="1"/>
  <c r="F101" i="1"/>
  <c r="O97" i="1"/>
  <c r="N97" i="1"/>
  <c r="M97" i="1"/>
  <c r="L97" i="1"/>
  <c r="K97" i="1"/>
  <c r="J97" i="1"/>
  <c r="I97" i="1"/>
  <c r="H97" i="1"/>
  <c r="G97" i="1"/>
  <c r="F97" i="1"/>
  <c r="O92" i="1"/>
  <c r="N92" i="1"/>
  <c r="M92" i="1"/>
  <c r="L92" i="1"/>
  <c r="K92" i="1"/>
  <c r="J92" i="1"/>
  <c r="I92" i="1"/>
  <c r="H92" i="1"/>
  <c r="G92" i="1"/>
  <c r="F92" i="1"/>
  <c r="O87" i="1"/>
  <c r="N87" i="1"/>
  <c r="M87" i="1"/>
  <c r="L87" i="1"/>
  <c r="K87" i="1"/>
  <c r="J87" i="1"/>
  <c r="I87" i="1"/>
  <c r="H87" i="1"/>
  <c r="G87" i="1"/>
  <c r="F87" i="1"/>
  <c r="O83" i="1"/>
  <c r="N83" i="1"/>
  <c r="M83" i="1"/>
  <c r="L83" i="1"/>
  <c r="K83" i="1"/>
  <c r="J83" i="1"/>
  <c r="I83" i="1"/>
  <c r="H83" i="1"/>
  <c r="G83" i="1"/>
  <c r="F83" i="1"/>
  <c r="O80" i="1"/>
  <c r="N80" i="1"/>
  <c r="M80" i="1"/>
  <c r="L80" i="1"/>
  <c r="K80" i="1"/>
  <c r="J80" i="1"/>
  <c r="I80" i="1"/>
  <c r="H80" i="1"/>
  <c r="G80" i="1"/>
  <c r="F80" i="1"/>
  <c r="O75" i="1"/>
  <c r="O61" i="1"/>
  <c r="N61" i="1"/>
  <c r="M61" i="1"/>
  <c r="L61" i="1"/>
  <c r="K61" i="1"/>
  <c r="J61" i="1"/>
  <c r="I61" i="1"/>
  <c r="H61" i="1"/>
  <c r="G61" i="1"/>
  <c r="F61" i="1"/>
  <c r="O30" i="1"/>
  <c r="N30" i="1"/>
  <c r="M30" i="1"/>
  <c r="L30" i="1"/>
  <c r="K30" i="1"/>
  <c r="J30" i="1"/>
  <c r="I30" i="1"/>
  <c r="H30" i="1"/>
  <c r="G30" i="1"/>
  <c r="F30" i="1"/>
  <c r="O14" i="1"/>
  <c r="N14" i="1"/>
  <c r="M14" i="1"/>
  <c r="L14" i="1"/>
  <c r="K14" i="1"/>
  <c r="J14" i="1"/>
  <c r="I14" i="1"/>
  <c r="H14" i="1"/>
  <c r="G14" i="1"/>
  <c r="F14" i="1"/>
  <c r="O8" i="1"/>
  <c r="N8" i="1"/>
  <c r="M8" i="1"/>
  <c r="L8" i="1"/>
  <c r="K8" i="1"/>
  <c r="J8" i="1"/>
  <c r="I8" i="1"/>
  <c r="H8" i="1"/>
  <c r="G8" i="1"/>
  <c r="F8" i="1"/>
  <c r="G114" i="1" l="1"/>
  <c r="K114" i="1"/>
  <c r="H114" i="1"/>
  <c r="L114" i="1"/>
  <c r="I114" i="1"/>
  <c r="N114" i="1"/>
  <c r="J114" i="1"/>
  <c r="F114" i="1"/>
  <c r="M114" i="1"/>
  <c r="O114" i="1"/>
</calcChain>
</file>

<file path=xl/sharedStrings.xml><?xml version="1.0" encoding="utf-8"?>
<sst xmlns="http://schemas.openxmlformats.org/spreadsheetml/2006/main" count="900" uniqueCount="391">
  <si>
    <t>ПОТРЕБНОСТЬ В ФИЛЬТРАХ И СМАЗОЧНЫХ МАТЕРИАЛАХ ПО УЧАСТКУ НИКОЛАЕВКА НА ИЮНЬ 2026 ГОДА</t>
  </si>
  <si>
    <t>Составлено на основании Годового графика ТО 2026 г. и карт технического обслуживания</t>
  </si>
  <si>
    <t>№
п/п</t>
  </si>
  <si>
    <t>Гараж.
№</t>
  </si>
  <si>
    <t>Полное наименование
машины</t>
  </si>
  <si>
    <t>Вид ТО
в июне</t>
  </si>
  <si>
    <t>Дата ТО
в июне</t>
  </si>
  <si>
    <t>Фильтр
масляный
(шт.)</t>
  </si>
  <si>
    <t>Фильтр
топливный
(шт.)</t>
  </si>
  <si>
    <t>Фильтр
воздушный
(шт.)</t>
  </si>
  <si>
    <t>Фильтр
гидравл.
(шт.)</t>
  </si>
  <si>
    <t>Масло
моторное
(л.)</t>
  </si>
  <si>
    <t>Масло
трансм./
гидравл.(л.)</t>
  </si>
  <si>
    <t>Смазка
Литол
(кг.)</t>
  </si>
  <si>
    <t>Антифриз
(л.)</t>
  </si>
  <si>
    <t>Прочие
фильтры
(шт.)</t>
  </si>
  <si>
    <t>Артикулы фильтров (основные)</t>
  </si>
  <si>
    <t>МОДЕЛЬ 1: Фронтальный погрузчик SDLG LG975F (1 ед., гар.404)</t>
  </si>
  <si>
    <t>404</t>
  </si>
  <si>
    <t>Фронтальный погрузчик SDLG LG975F</t>
  </si>
  <si>
    <t>ТО-800</t>
  </si>
  <si>
    <t>06.06</t>
  </si>
  <si>
    <t>Масл: 4110003316001/P553771 (2шт); Топл.сеп: 4110002989004/P550778; Топл.груб: 4110003073003/P550778; Топл.тонк: 4110003268003/P550529; Возд: 4110001755023/KW2440</t>
  </si>
  <si>
    <t>ТО-400</t>
  </si>
  <si>
    <t>26.06</t>
  </si>
  <si>
    <t>ИТОГО по модели: Фронтальный погрузчик SDLG LG975F</t>
  </si>
  <si>
    <t>МОДЕЛЬ 2: Автогрейдер SANY STG210C-8S (3 ед., гар.401, 402, 408)</t>
  </si>
  <si>
    <t>401</t>
  </si>
  <si>
    <t>Автогрейдер SANY STG210C-8S</t>
  </si>
  <si>
    <t>ТО-1000</t>
  </si>
  <si>
    <t>09.06</t>
  </si>
  <si>
    <t>Масл: LF9009; Топл.тонк: FF5052/P550440; Топл.вод: FS1280 (2шт); Топл.груб: 1003697990A/612600081335/p550778</t>
  </si>
  <si>
    <t>402</t>
  </si>
  <si>
    <t>08.06</t>
  </si>
  <si>
    <t>408</t>
  </si>
  <si>
    <t>ТО-250</t>
  </si>
  <si>
    <t>19.06</t>
  </si>
  <si>
    <t>ИТОГО по модели: Автогрейдер SANY STG210C-8S</t>
  </si>
  <si>
    <t>МОДЕЛЬ 3: Самосвал XCMG XGA5902D3T (11 ед., гар.101-113)</t>
  </si>
  <si>
    <t>101</t>
  </si>
  <si>
    <t>Самосвал XCMG XGA5902D3T</t>
  </si>
  <si>
    <t>ТО-2000</t>
  </si>
  <si>
    <t>25.06</t>
  </si>
  <si>
    <t>Масл: 612630010239/JX1016/1000428205A (2шт); Топл.тонк: 1000053555/p550529; Топл.груб: 1000424916/p550778 (3шт); Возд: 3560</t>
  </si>
  <si>
    <t>103</t>
  </si>
  <si>
    <t>ТО-500</t>
  </si>
  <si>
    <t>04.06</t>
  </si>
  <si>
    <t>104</t>
  </si>
  <si>
    <t>07.06</t>
  </si>
  <si>
    <t>20.06</t>
  </si>
  <si>
    <t>105</t>
  </si>
  <si>
    <t>106</t>
  </si>
  <si>
    <t>22.06</t>
  </si>
  <si>
    <t>108</t>
  </si>
  <si>
    <t>109</t>
  </si>
  <si>
    <t>15.06</t>
  </si>
  <si>
    <t>110</t>
  </si>
  <si>
    <t>111</t>
  </si>
  <si>
    <t>112</t>
  </si>
  <si>
    <t>23.06</t>
  </si>
  <si>
    <t>113</t>
  </si>
  <si>
    <t>10.06</t>
  </si>
  <si>
    <t>ИТОГО по модели: Самосвал XCMG XGA5902D3T</t>
  </si>
  <si>
    <t>МОДЕЛЬ 4: Самосвал XCMG XG105 (19 ед., гар.114-120, 137-149)</t>
  </si>
  <si>
    <t>114</t>
  </si>
  <si>
    <t>Самосвал XCMG XG105</t>
  </si>
  <si>
    <t>18.06</t>
  </si>
  <si>
    <t>115</t>
  </si>
  <si>
    <t>116</t>
  </si>
  <si>
    <t>13.06</t>
  </si>
  <si>
    <t>117</t>
  </si>
  <si>
    <t>118</t>
  </si>
  <si>
    <t>119</t>
  </si>
  <si>
    <t>17.06</t>
  </si>
  <si>
    <t>120</t>
  </si>
  <si>
    <t>16.06</t>
  </si>
  <si>
    <t>137</t>
  </si>
  <si>
    <t>24.06</t>
  </si>
  <si>
    <t>138</t>
  </si>
  <si>
    <t>139</t>
  </si>
  <si>
    <t>140</t>
  </si>
  <si>
    <t>141</t>
  </si>
  <si>
    <t>142</t>
  </si>
  <si>
    <t>143</t>
  </si>
  <si>
    <t>05.06</t>
  </si>
  <si>
    <t>30.06</t>
  </si>
  <si>
    <t>144</t>
  </si>
  <si>
    <t>146</t>
  </si>
  <si>
    <t>12.06</t>
  </si>
  <si>
    <t>147</t>
  </si>
  <si>
    <t>29.06</t>
  </si>
  <si>
    <t>148</t>
  </si>
  <si>
    <t>149</t>
  </si>
  <si>
    <t>ИТОГО по модели: Самосвал XCMG XG105</t>
  </si>
  <si>
    <t>121</t>
  </si>
  <si>
    <t>Карьерный самосвал SANY SKT115S</t>
  </si>
  <si>
    <t>Масл: 60327523/JX1016/VG1246070031/612630010239 (2шт); Топл.тонк: 1000053555/612630080087/p550529; Топл: 1000053557/P550778; Топл.груб: 160603020024A/1000053558; Возд.нар: 160602030016A/ST40362AB; Гидр(при ТО-1000/2000): 60277890, 60101256</t>
  </si>
  <si>
    <t>122</t>
  </si>
  <si>
    <t>03.06</t>
  </si>
  <si>
    <t>123</t>
  </si>
  <si>
    <t>124</t>
  </si>
  <si>
    <t>02.06</t>
  </si>
  <si>
    <t>14.06</t>
  </si>
  <si>
    <t>27.06</t>
  </si>
  <si>
    <t>125</t>
  </si>
  <si>
    <t>11.06</t>
  </si>
  <si>
    <t>126</t>
  </si>
  <si>
    <t>ИТОГО по модели: Карьерный самосвал SANY SKT115S</t>
  </si>
  <si>
    <t>МОДЕЛЬ 6: Бульдозер гусеничный SEM832F (3 ед., гар.305, 307, 308)</t>
  </si>
  <si>
    <t>305</t>
  </si>
  <si>
    <t>Бульдозер гусеничный SEM832F</t>
  </si>
  <si>
    <t>Масл: 1R1808/P551808/WD13145/1; Топл.осн: 4238524/P550900; Топл.тонк: 1R0749/P551311 (2шт); Возд.нар: 2453818/P782106; Возд.вн: 2453819/P782109; Гидр(при ТО-2000): 6154176 (2шт), 6079927</t>
  </si>
  <si>
    <t>307</t>
  </si>
  <si>
    <t>308</t>
  </si>
  <si>
    <t>ИТОГО по модели: Бульдозер гусеничный SEM832F</t>
  </si>
  <si>
    <t>МОДЕЛЬ 7: Бульдозер гусеничный SEM822D (1 ед., гар.304)</t>
  </si>
  <si>
    <t>304</t>
  </si>
  <si>
    <t>Бульдозер гусеничный SEM822D</t>
  </si>
  <si>
    <t>Масл: P551808/WD13145/1; Топл: P550900; Топл.тонк: P551311 (2шт)</t>
  </si>
  <si>
    <t>ИТОГО по модели: Бульдозер гусеничный SEM822D</t>
  </si>
  <si>
    <t>МОДЕЛЬ 8: Бульдозер гусеничный SEM832D (1 ед., гар.310)</t>
  </si>
  <si>
    <t>310</t>
  </si>
  <si>
    <t>Бульдозер гусеничный SEM832D</t>
  </si>
  <si>
    <t>Масл: P551808/WD13145/1; Топл: P550900; Топл.тонк: P551311 (2шт); Возд.нар: P782106; Возд.вн: P782109</t>
  </si>
  <si>
    <t>ИТОГО по модели: Бульдозер гусеничный SEM832D</t>
  </si>
  <si>
    <t>МОДЕЛЬ 9: Экскаватор гусеничный XCMG XE800D (2 ед., гар.208, 209)</t>
  </si>
  <si>
    <t>208</t>
  </si>
  <si>
    <t>Экскаватор гусеничный XCMG XE800D</t>
  </si>
  <si>
    <t>Масл: 803442626/LF691A/WD13145/1/p551808; Топл.тонк: 803442627/P551311 (2шт); Сеп1: 803442628/P551110; Сеп2: 803445295/p502643; Возд.нар(ТО-2000): 800105256/P781098; Возд.вн(ТО-2000): 800105257/P781102</t>
  </si>
  <si>
    <t>209</t>
  </si>
  <si>
    <t>ИТОГО по модели: Экскаватор гусеничный XCMG XE800D</t>
  </si>
  <si>
    <t>МОДЕЛЬ 10: Экскаватор гусеничный Hyundai R520LC-9S (2 ед., гар.203, 205)</t>
  </si>
  <si>
    <t>203</t>
  </si>
  <si>
    <t>Экскаватор гусеничный Hyundai R520LC-9S</t>
  </si>
  <si>
    <t>Масл: 11NB-70110/LF9000/LF9001/P559000; Топл: 11NB-70010/FS1000/P551000 (2шт); Топл(без стак): P551026; Возд.нар: 11Q8-20130/P777868; Возд.вн: 11Q8-20120/P777869; Гидр(ТО-2000): E131-0214/H2801, 31E9-1019/EF01471 (2шт), 31Q6-20340/P165136, 31N8-01360/HF28751</t>
  </si>
  <si>
    <t>205</t>
  </si>
  <si>
    <t>ТО-1600</t>
  </si>
  <si>
    <t>ИТОГО по модели: Экскаватор гусеничный Hyundai R520LC-9S</t>
  </si>
  <si>
    <t>МОДЕЛЬ 11: Экскаватор гусеничный Hitachi ZX470LC-5G (1 ед., гар.204)</t>
  </si>
  <si>
    <t>204</t>
  </si>
  <si>
    <t>Экскаватор гусеничный Hitachi ZX470LC-5G</t>
  </si>
  <si>
    <t>Масл: 4696643/YA00058283/P551381 (2шт); Топл.груб: 4326739/4616544/P550391; Топл.тонк: 4192631/P557440; Возд.нар(ТО-2000): 4466269/P777868; Возд.вн: 4466268/P777869; Гидр.осн: 4630331/P762921; Гидр.пил: 4363399/P555570; Сапун: 4437838/P502563</t>
  </si>
  <si>
    <t>ИТОГО по модели: Экскаватор гусеничный Hitachi ZX470LC-5G</t>
  </si>
  <si>
    <t>МОДЕЛЬ 12: Экскаватор гусеничный Hyundai R450LC-7 (1 ед., гар.206)</t>
  </si>
  <si>
    <t>206</t>
  </si>
  <si>
    <t>Экскаватор гусеничный Hyundai R450LC-7</t>
  </si>
  <si>
    <t>Масл: 11NB-70110/LF9000/P559000; Топл: FS1000/P551000 (2шт); Топл(без стак): P551026; Возд.нар: 11NB-20120/A28770/P181183; Возд.вн: 11NB-20130/AF4734/P520582</t>
  </si>
  <si>
    <t>ИТОГО по модели: Экскаватор гусеничный Hyundai R450LC-7</t>
  </si>
  <si>
    <t>МОДЕЛЬ 13: Экскаватор гусеничный XCMG XE1350 (1 ед., гар.214)</t>
  </si>
  <si>
    <t>214</t>
  </si>
  <si>
    <t>Экскаватор гусеничный XCMG XE1350</t>
  </si>
  <si>
    <t>Возд.нар: 800173554/800105256/P781098; Возд.вн: 800173553/800105257/P781102; Топл: 803161448/FS1006/P552006 (2шт); Масл: 800141634/LF670/LF9325 (2шт); Топл(800154807): 800154807/P502481; Топл(803436245): 803436245/803444890; Гидр: 803436460/P573481, 860176640</t>
  </si>
  <si>
    <t>ИТОГО по модели: Экскаватор гусеничный XCMG XE1350</t>
  </si>
  <si>
    <t>ИТОГО ПО УЧАСТКУ НИКОЛАЕВКА ЗА ИЮНЬ 2026 г.</t>
  </si>
  <si>
    <t>ДЕТАЛЬНЫЙ ПЕРЕЧЕНЬ АРТИКУЛОВ ФИЛЬТРОВ ПО МОДЕЛЯМ ТЕХНИКИ — УЧАСТОК НИКОЛАЕВКА</t>
  </si>
  <si>
    <t>Модель техники</t>
  </si>
  <si>
    <t>Наименование фильтра/материала</t>
  </si>
  <si>
    <t>Основной артикул</t>
  </si>
  <si>
    <t>Кросс-коды (аналоги)</t>
  </si>
  <si>
    <t>Кол-во за ТО</t>
  </si>
  <si>
    <t>Погрузчик SDLG LG975F
(гар.404, ТО-400 26.06 + ТО-800 06.06)</t>
  </si>
  <si>
    <t>Масляный фильтр двигателя</t>
  </si>
  <si>
    <t>4110003316001</t>
  </si>
  <si>
    <t>P553771 / W962 / LF4053 / LF3413</t>
  </si>
  <si>
    <t>2 шт. × 2ТО = 4 шт.</t>
  </si>
  <si>
    <t>Топливный фильтр-сепаратор</t>
  </si>
  <si>
    <t>4110002989004</t>
  </si>
  <si>
    <t>P550778</t>
  </si>
  <si>
    <t>1 шт. × 2ТО = 2 шт.</t>
  </si>
  <si>
    <t>Топливный фильтр грубой очистки</t>
  </si>
  <si>
    <t>4110003073003</t>
  </si>
  <si>
    <t>Топливный фильтр тонкой очистки</t>
  </si>
  <si>
    <t>4110003268003</t>
  </si>
  <si>
    <t>P550529</t>
  </si>
  <si>
    <t>Воздушный фильтр</t>
  </si>
  <si>
    <t>4110001755023</t>
  </si>
  <si>
    <t>KW2440 / 612600110540 / EKO01-356</t>
  </si>
  <si>
    <t>Масло моторное CH-4 15W/40</t>
  </si>
  <si>
    <t>—</t>
  </si>
  <si>
    <t>28 л × 2 = 56 л</t>
  </si>
  <si>
    <t>Автогрейдер SANY STG210C-8S
(гар.401 ТО-1000 09.06; гар.402 ТО-1000 08.06; гар.408 ТО-1000 06.06 + ТО-250 19.06)</t>
  </si>
  <si>
    <t>LF9009</t>
  </si>
  <si>
    <t>1 шт. × 5 ТО = 5 шт.</t>
  </si>
  <si>
    <t>FF5052</t>
  </si>
  <si>
    <t>P550440</t>
  </si>
  <si>
    <t>Топливный фильтр-водоотделитель</t>
  </si>
  <si>
    <t>FS1280</t>
  </si>
  <si>
    <t>2 шт. × 5 ТО = 10 шт.</t>
  </si>
  <si>
    <t>Топливный фильтр грубой очистки (со стаканом)</t>
  </si>
  <si>
    <t>1003697990A</t>
  </si>
  <si>
    <t>612600081335 / p550778</t>
  </si>
  <si>
    <t>Воздушный фильтр (при ТО-1000)</t>
  </si>
  <si>
    <t>60207264</t>
  </si>
  <si>
    <t>PU2851</t>
  </si>
  <si>
    <t>1 шт. (уточнить)</t>
  </si>
  <si>
    <t>Масло моторное Rimula 10W40</t>
  </si>
  <si>
    <t>24 л × 5 ТО = 120 л</t>
  </si>
  <si>
    <t>Самосвал XCMG XGA5902D3T
(гар.101-113, 11 ед. с ТО в июне)</t>
  </si>
  <si>
    <t>612630010239</t>
  </si>
  <si>
    <t>JX1016 / 1000428205A</t>
  </si>
  <si>
    <t>2 шт./ТО</t>
  </si>
  <si>
    <t>1000053555 / 612630080087</t>
  </si>
  <si>
    <t>p550529 / F026402017</t>
  </si>
  <si>
    <t>1 шт./ТО</t>
  </si>
  <si>
    <t>1000424916</t>
  </si>
  <si>
    <t>p550778 / F026402038</t>
  </si>
  <si>
    <t>3 шт./ТО</t>
  </si>
  <si>
    <t>3560</t>
  </si>
  <si>
    <t>38 л/ТО</t>
  </si>
  <si>
    <t>Масло транс. 80w90GL4 (при ТО-500/1000/2000)</t>
  </si>
  <si>
    <t>40 л/ТО</t>
  </si>
  <si>
    <t>Масло транс. 80w90GL5 (при ТО-2000)</t>
  </si>
  <si>
    <t>40 л/ТО-2000</t>
  </si>
  <si>
    <t>Самосвал XCMG XG105
(гар.114-120, 137-149, 19 ед. с ТО в июне)</t>
  </si>
  <si>
    <t>Карьерный самосвал SANY SKT115S
(гар.121-126, 6 ед. с ТО в июне)</t>
  </si>
  <si>
    <t>60327523</t>
  </si>
  <si>
    <t>JX1016 / 1000428205 / H807W / VG1246070031 / 612630010239</t>
  </si>
  <si>
    <t>1000053555</t>
  </si>
  <si>
    <t>612630080087 / p550529</t>
  </si>
  <si>
    <t>Топливный фильтр</t>
  </si>
  <si>
    <t>1000053557</t>
  </si>
  <si>
    <t>P550778 / 1000424916</t>
  </si>
  <si>
    <t>160603020024A</t>
  </si>
  <si>
    <t>1000053558 / 1000422381 / P550778</t>
  </si>
  <si>
    <t>Воздушный фильтр наружный (при ТО-500/1000/2000)</t>
  </si>
  <si>
    <t>160602030016A</t>
  </si>
  <si>
    <t>ST40362AB / GLQ009212467</t>
  </si>
  <si>
    <t>1 шт.</t>
  </si>
  <si>
    <t>Воздушный фильтр внутренний (при ТО-500/1000/2000)</t>
  </si>
  <si>
    <t>160602020020A</t>
  </si>
  <si>
    <t>B222100000427</t>
  </si>
  <si>
    <t>Фильтр гидравлический (при ТО-1000/2000)</t>
  </si>
  <si>
    <t>60277890</t>
  </si>
  <si>
    <t>60101256</t>
  </si>
  <si>
    <t>Фильтр крышка гидробака (при ТО-2000)</t>
  </si>
  <si>
    <t>24001922</t>
  </si>
  <si>
    <t>Масло моторное Rimula 15W40</t>
  </si>
  <si>
    <t>28 л/ТО</t>
  </si>
  <si>
    <t>Масло в КПП (при ТО-2000)</t>
  </si>
  <si>
    <t>52 л</t>
  </si>
  <si>
    <t>Масло гидравлическое SHANTUI HM46 (при ТО-2000)</t>
  </si>
  <si>
    <t>230 л</t>
  </si>
  <si>
    <t>Антифриз (при ТО-2000)</t>
  </si>
  <si>
    <t>55 л</t>
  </si>
  <si>
    <t>Бульдозер гусеничный SEM832F
(гар.305 ТО-2000 24.06; гар.307 ТО-500 19.06; гар.308 ТО-2000 15.06)</t>
  </si>
  <si>
    <t>1R1808</t>
  </si>
  <si>
    <t>P551808 / WD13145/1</t>
  </si>
  <si>
    <t>Топливный фильтр основной</t>
  </si>
  <si>
    <t>4238524</t>
  </si>
  <si>
    <t>P550900</t>
  </si>
  <si>
    <t>1R0749</t>
  </si>
  <si>
    <t>P551311</t>
  </si>
  <si>
    <t>Воздушный фильтр наружный</t>
  </si>
  <si>
    <t>2453818</t>
  </si>
  <si>
    <t>P782106</t>
  </si>
  <si>
    <t>Воздушный фильтр внутренний</t>
  </si>
  <si>
    <t>2453819</t>
  </si>
  <si>
    <t>P782109</t>
  </si>
  <si>
    <t>Гидравлический фильтр (при ТО-2000)</t>
  </si>
  <si>
    <t>6154176</t>
  </si>
  <si>
    <t>2 шт.</t>
  </si>
  <si>
    <t>6079927</t>
  </si>
  <si>
    <t>Масло моторное</t>
  </si>
  <si>
    <t>Масло гидравлическое (при ТО-2000)</t>
  </si>
  <si>
    <t>200 л</t>
  </si>
  <si>
    <t>Масло трансмиссионное (при ТО-2000)</t>
  </si>
  <si>
    <t>80 л</t>
  </si>
  <si>
    <t>Бульдозер гусеничный SEM822D
(гар.304, ТО-2000 08.06)</t>
  </si>
  <si>
    <t>40 л</t>
  </si>
  <si>
    <t>Бульдозер гусеничный SEM832D
(гар.310, ТО-500 06.06 + ТО-250 19.06)</t>
  </si>
  <si>
    <t>Воздушный фильтр наружный (при ТО-500)</t>
  </si>
  <si>
    <t>Воздушный фильтр внутренний (при ТО-500)</t>
  </si>
  <si>
    <t>40 л × 2 = 80 л</t>
  </si>
  <si>
    <t>Экскаватор гусеничный XCMG XE800D
(гар.208 ТО-2000 08.06; гар.209 ТО-400 15.06)</t>
  </si>
  <si>
    <t>803442626</t>
  </si>
  <si>
    <t>LF691A / WD13145/1 / p551808</t>
  </si>
  <si>
    <t>803442627</t>
  </si>
  <si>
    <t>P551311 / Perkins 4650996</t>
  </si>
  <si>
    <t>Топливный фильтр-сепаратор (1)</t>
  </si>
  <si>
    <t>803442628</t>
  </si>
  <si>
    <t>P551110 / sn55444 / Perkins 4587259</t>
  </si>
  <si>
    <t>Топливный фильтр-сепаратор (2)</t>
  </si>
  <si>
    <t>803445295</t>
  </si>
  <si>
    <t>p502643 / Fleetguard FS36230</t>
  </si>
  <si>
    <t>Воздушный фильтр внешний (при ТО-2000)</t>
  </si>
  <si>
    <t>800105256</t>
  </si>
  <si>
    <t>A8078 / P781098</t>
  </si>
  <si>
    <t>Воздушный фильтр внутренний (при ТО-2000)</t>
  </si>
  <si>
    <t>800105257</t>
  </si>
  <si>
    <t>P781102</t>
  </si>
  <si>
    <t>803436529 / 860176640</t>
  </si>
  <si>
    <t>Гидравлический фильтр пилотный (при ТО-2000)</t>
  </si>
  <si>
    <t>803436460</t>
  </si>
  <si>
    <t>P573481</t>
  </si>
  <si>
    <t>Экскаватор гусеничный Hyundai R520LC-9S
(гар.203 ТО-500 10.06; гар.205 ТО-1600 05.06 + ТО-2000 25.06)</t>
  </si>
  <si>
    <t>11NB-70110</t>
  </si>
  <si>
    <t>LF9000 / LF9001 / LF14000NN / P559000</t>
  </si>
  <si>
    <t>Топливный фильтр (2 шт.)</t>
  </si>
  <si>
    <t>11NB-70010</t>
  </si>
  <si>
    <t>FS1000 / P551000</t>
  </si>
  <si>
    <t>Топливный фильтр без стакана</t>
  </si>
  <si>
    <t>P551026</t>
  </si>
  <si>
    <t>11Q8-20130</t>
  </si>
  <si>
    <t>P777868</t>
  </si>
  <si>
    <t>11Q8-20120</t>
  </si>
  <si>
    <t>P777869</t>
  </si>
  <si>
    <t>Фильтр гидравлический (при ТО-2000)</t>
  </si>
  <si>
    <t>E131-0214</t>
  </si>
  <si>
    <t>H2801</t>
  </si>
  <si>
    <t>31E9-1019</t>
  </si>
  <si>
    <t>EF01471 / R010110</t>
  </si>
  <si>
    <t>Фильтр пилотный (при ТО-2000)</t>
  </si>
  <si>
    <t>31Q6-20340</t>
  </si>
  <si>
    <t>HD55/1 / P165136</t>
  </si>
  <si>
    <t>Фильтр возвратный (при ТО-2000)</t>
  </si>
  <si>
    <t>31N8-01360</t>
  </si>
  <si>
    <t>31E9-0126 / HF28751 / P766756</t>
  </si>
  <si>
    <t>Масло гидравлическое ISO46 (при ТО-2000)</t>
  </si>
  <si>
    <t>Pemco ISO46</t>
  </si>
  <si>
    <t>280 л</t>
  </si>
  <si>
    <t>Масло трансмиссионное 80w90GL5</t>
  </si>
  <si>
    <t>5 л/ТО + 32 л (при ТО-2000)</t>
  </si>
  <si>
    <t>Смазка Литол-24</t>
  </si>
  <si>
    <t>3 кг/ТО</t>
  </si>
  <si>
    <t>Экскаватор гусеничный Hitachi ZX470LC-5G
(гар.204, ТО-400 05.06 + ТО-2000 25.06)</t>
  </si>
  <si>
    <t>4696643</t>
  </si>
  <si>
    <t>YA00058283 / P551381</t>
  </si>
  <si>
    <t>Топливный фильтр грубой очистки (при ТО-2000)</t>
  </si>
  <si>
    <t>4326739</t>
  </si>
  <si>
    <t>4616544 / P550391</t>
  </si>
  <si>
    <t>Топливный фильтр тонкой очистки (при ТО-2000)</t>
  </si>
  <si>
    <t>4192631</t>
  </si>
  <si>
    <t>L4192631 / P557440 / P553854</t>
  </si>
  <si>
    <t>Воздушный фильтр наружный (при ТО-2000)</t>
  </si>
  <si>
    <t>4466269</t>
  </si>
  <si>
    <t>L4466269 / P777868</t>
  </si>
  <si>
    <t>4466268</t>
  </si>
  <si>
    <t>L4466268 / P777869</t>
  </si>
  <si>
    <t>Гидравлический фильтр основной (при ТО-2000)</t>
  </si>
  <si>
    <t>4630331</t>
  </si>
  <si>
    <t>4654745 / P762921</t>
  </si>
  <si>
    <t>4363399</t>
  </si>
  <si>
    <t>P555570</t>
  </si>
  <si>
    <t>4630525</t>
  </si>
  <si>
    <t>HF35516</t>
  </si>
  <si>
    <t>Сапун гидробака (при ТО-2000)</t>
  </si>
  <si>
    <t>4437838</t>
  </si>
  <si>
    <t>P502563</t>
  </si>
  <si>
    <t>Масло моторное SHELL RIMULA R5E 10W40</t>
  </si>
  <si>
    <t>57 л × 2ТО = 114 л</t>
  </si>
  <si>
    <t>Масло поворотный редуктор SPIRAX S3G 80W-90 (ТО-2000)</t>
  </si>
  <si>
    <t>13 л</t>
  </si>
  <si>
    <t>Масло трансмиссионное SPIRAX S3G 80W-90 (ТО-2000)</t>
  </si>
  <si>
    <t>22 л</t>
  </si>
  <si>
    <t>Масло редуктор гидронасосов SPIRAX S3G 80W-90 (ТО-2000)</t>
  </si>
  <si>
    <t>2 л</t>
  </si>
  <si>
    <t>Экскаватор гусеничный Hyundai R450LC-7
(гар.206, ТО-1600 20.06)</t>
  </si>
  <si>
    <t>LF9000 / LF9001 / P559000</t>
  </si>
  <si>
    <t>11NB-20120</t>
  </si>
  <si>
    <t>A28770 / AF4729 / P181183</t>
  </si>
  <si>
    <t>11NB-20130</t>
  </si>
  <si>
    <t>AF4734 / P520582</t>
  </si>
  <si>
    <t>38 л</t>
  </si>
  <si>
    <t>5 л + 32 л = 37 л</t>
  </si>
  <si>
    <t>3 кг</t>
  </si>
  <si>
    <t>Экскаватор гусеничный XCMG XE1350
(гар.214, ТО-250 04.06 + ТО-1000 16.06 + ТО-250 29.06)</t>
  </si>
  <si>
    <t>800173554</t>
  </si>
  <si>
    <t>800105256 / P781098</t>
  </si>
  <si>
    <t>800173553</t>
  </si>
  <si>
    <t>800105257 / P781102</t>
  </si>
  <si>
    <t>803161448</t>
  </si>
  <si>
    <t>FS1006 / P552006</t>
  </si>
  <si>
    <t>800141634</t>
  </si>
  <si>
    <t>LF670 / LF9325 / DBL7670</t>
  </si>
  <si>
    <t>Топливный фильтр (800154807)</t>
  </si>
  <si>
    <t>800154807</t>
  </si>
  <si>
    <t>01860S / P502481</t>
  </si>
  <si>
    <t>Топливный фильтр (803436245)</t>
  </si>
  <si>
    <t>803436245</t>
  </si>
  <si>
    <t>803444890 / SZG5950A003B / SH60959</t>
  </si>
  <si>
    <t>Гидравлический фильтр (803436460)</t>
  </si>
  <si>
    <t>Гидравлический фильтр (860176640)</t>
  </si>
  <si>
    <t>860176640</t>
  </si>
  <si>
    <t>803436529 / 860157814</t>
  </si>
  <si>
    <t>Масло моторное CI-4 15W/40</t>
  </si>
  <si>
    <t>75 л/ТО</t>
  </si>
  <si>
    <t>Масл: 60327523/JX1016/VG1246070031/612630010239 (2шт); Топл.тонк: 1000053555/612630080087/p550529; Топл: 1000053557/P550778; Топл.груб: 160603020024A/1000053558; Возд.нар: 160602030016A/ST40362AB; Гидр(при ТО-1000/2000): 60277890, 60101257</t>
  </si>
  <si>
    <t>МОДЕЛЬ 14: Экскаватор гусеничный Doosan 1000 (1 ед., гар.211)</t>
  </si>
  <si>
    <t>Экскаватор гусеничный Doosan 1000</t>
  </si>
  <si>
    <t>ИТОГО по модели: Экскаватор гусеничный Doosan 1000</t>
  </si>
  <si>
    <t>МОДЕЛЬ 5: Карьерный самосвал SANY SKT115S (8 ед., гар.121-126)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</si>
</sst>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i/>
      <sz val="10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sz val="9"/>
      <name val="Arial"/>
    </font>
    <font>
      <sz val="8"/>
      <name val="Arial"/>
    </font>
    <font>
      <b/>
      <sz val="9"/>
      <name val="Arial"/>
    </font>
    <font>
      <b/>
      <sz val="11"/>
      <color rgb="FFFFFFFF"/>
      <name val="Arial"/>
    </font>
    <font>
      <b/>
      <sz val="10"/>
      <color rgb="FFFFFFFF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</fonts>
  <fills count="3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  <fill>
      <patternFill patternType="solid">
        <fgColor rgb="FFDEEAF1"/>
        <bgColor rgb="FFDEEAF1"/>
      </patternFill>
    </fill>
    <fill>
      <patternFill patternType="solid">
        <fgColor rgb="FFBDD7EE"/>
        <bgColor rgb="FFBDD7EE"/>
      </patternFill>
    </fill>
    <fill>
      <patternFill patternType="solid">
        <fgColor rgb="FF375623"/>
        <bgColor rgb="FF375623"/>
      </patternFill>
    </fill>
    <fill>
      <patternFill patternType="solid">
        <fgColor rgb="FFE2EFD9"/>
        <bgColor rgb="FFE2EFD9"/>
      </patternFill>
    </fill>
    <fill>
      <patternFill patternType="solid">
        <fgColor rgb="FF7B3F00"/>
        <bgColor rgb="FF7B3F00"/>
      </patternFill>
    </fill>
    <fill>
      <patternFill patternType="solid">
        <fgColor rgb="FFFBE5D5"/>
        <bgColor rgb="FFFBE5D5"/>
      </patternFill>
    </fill>
    <fill>
      <patternFill patternType="solid">
        <fgColor rgb="FF4A235A"/>
        <bgColor rgb="FF4A235A"/>
      </patternFill>
    </fill>
    <fill>
      <patternFill patternType="solid">
        <fgColor rgb="FFEDE7F6"/>
        <bgColor rgb="FFEDE7F6"/>
      </patternFill>
    </fill>
    <fill>
      <patternFill patternType="solid">
        <fgColor rgb="FF1A5276"/>
        <bgColor rgb="FF1A5276"/>
      </patternFill>
    </fill>
    <fill>
      <patternFill patternType="solid">
        <fgColor rgb="FFD6EAF8"/>
        <bgColor rgb="FFD6EAF8"/>
      </patternFill>
    </fill>
    <fill>
      <patternFill patternType="solid">
        <fgColor rgb="FF145A32"/>
        <bgColor rgb="FF145A32"/>
      </patternFill>
    </fill>
    <fill>
      <patternFill patternType="solid">
        <fgColor rgb="FFD5F5E3"/>
        <bgColor rgb="FFD5F5E3"/>
      </patternFill>
    </fill>
    <fill>
      <patternFill patternType="solid">
        <fgColor rgb="FF6E2F1A"/>
        <bgColor rgb="FF6E2F1A"/>
      </patternFill>
    </fill>
    <fill>
      <patternFill patternType="solid">
        <fgColor rgb="FF283747"/>
        <bgColor rgb="FF283747"/>
      </patternFill>
    </fill>
    <fill>
      <patternFill patternType="solid">
        <fgColor rgb="FFEAECEE"/>
        <bgColor rgb="FFEAECEE"/>
      </patternFill>
    </fill>
    <fill>
      <patternFill patternType="solid">
        <fgColor rgb="FF0B3D91"/>
        <bgColor rgb="FF0B3D91"/>
      </patternFill>
    </fill>
    <fill>
      <patternFill patternType="solid">
        <fgColor rgb="FFD0E4FF"/>
        <bgColor rgb="FFD0E4FF"/>
      </patternFill>
    </fill>
    <fill>
      <patternFill patternType="solid">
        <fgColor rgb="FF117A65"/>
        <bgColor rgb="FF117A65"/>
      </patternFill>
    </fill>
    <fill>
      <patternFill patternType="solid">
        <fgColor rgb="FFD1F2EB"/>
        <bgColor rgb="FFD1F2EB"/>
      </patternFill>
    </fill>
    <fill>
      <patternFill patternType="solid">
        <fgColor rgb="FF6D4C41"/>
        <bgColor rgb="FF6D4C41"/>
      </patternFill>
    </fill>
    <fill>
      <patternFill patternType="solid">
        <fgColor rgb="FFEDDDDD"/>
        <bgColor rgb="FFEDDDDD"/>
      </patternFill>
    </fill>
    <fill>
      <patternFill patternType="solid">
        <fgColor rgb="FF1B4F72"/>
        <bgColor rgb="FF1B4F72"/>
      </patternFill>
    </fill>
    <fill>
      <patternFill patternType="solid">
        <fgColor rgb="FF4A4A4A"/>
        <bgColor rgb="FF4A4A4A"/>
      </patternFill>
    </fill>
    <fill>
      <patternFill patternType="solid">
        <fgColor rgb="FFEBEBEB"/>
        <bgColor rgb="FFEBEBEB"/>
      </patternFill>
    </fill>
    <fill>
      <patternFill patternType="solid">
        <fgColor rgb="FF1D6A20"/>
        <bgColor rgb="FF1D6A20"/>
      </patternFill>
    </fill>
    <fill>
      <patternFill patternType="solid">
        <fgColor rgb="FFC55A11"/>
        <bgColor rgb="FFC55A11"/>
      </patternFill>
    </fill>
    <fill>
      <patternFill patternType="solid">
        <fgColor rgb="FFEEF3FA"/>
        <bgColor rgb="FFEEF3FA"/>
      </patternFill>
    </fill>
    <fill>
      <patternFill patternType="solid">
        <fgColor theme="0"/>
        <bgColor rgb="FFD6EAF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left" vertical="center" wrapText="1"/>
    </xf>
    <xf numFmtId="0" fontId="5" fillId="21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left" vertical="center" wrapText="1"/>
    </xf>
    <xf numFmtId="0" fontId="6" fillId="21" borderId="1" xfId="0" applyFont="1" applyFill="1" applyBorder="1" applyAlignment="1">
      <alignment horizontal="left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left" vertical="center" wrapText="1"/>
    </xf>
    <xf numFmtId="0" fontId="6" fillId="23" borderId="1" xfId="0" applyFont="1" applyFill="1" applyBorder="1" applyAlignment="1">
      <alignment horizontal="left" vertical="center" wrapText="1"/>
    </xf>
    <xf numFmtId="0" fontId="5" fillId="25" borderId="1" xfId="0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left" vertical="center" wrapText="1"/>
    </xf>
    <xf numFmtId="0" fontId="6" fillId="25" borderId="1" xfId="0" applyFont="1" applyFill="1" applyBorder="1" applyAlignment="1">
      <alignment horizontal="left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left" vertical="center" wrapText="1"/>
    </xf>
    <xf numFmtId="0" fontId="6" fillId="28" borderId="1" xfId="0" applyFont="1" applyFill="1" applyBorder="1" applyAlignment="1">
      <alignment horizontal="left" vertical="center" wrapText="1"/>
    </xf>
    <xf numFmtId="0" fontId="8" fillId="29" borderId="1" xfId="0" applyFont="1" applyFill="1" applyBorder="1" applyAlignment="1">
      <alignment horizontal="center" vertical="center" wrapText="1"/>
    </xf>
    <xf numFmtId="0" fontId="5" fillId="31" borderId="1" xfId="0" applyFont="1" applyFill="1" applyBorder="1" applyAlignment="1">
      <alignment horizontal="left" vertical="center" wrapText="1"/>
    </xf>
    <xf numFmtId="0" fontId="5" fillId="31" borderId="1" xfId="0" applyFont="1" applyFill="1" applyBorder="1" applyAlignment="1">
      <alignment horizontal="center" vertical="center" wrapText="1"/>
    </xf>
    <xf numFmtId="0" fontId="5" fillId="4" borderId="1" xfId="0" applyNumberFormat="1" applyFont="1" applyFill="1" applyBorder="1" applyAlignment="1">
      <alignment horizontal="center" vertical="center" wrapText="1"/>
    </xf>
    <xf numFmtId="0" fontId="5" fillId="32" borderId="1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0" fontId="5" fillId="4" borderId="1" xfId="0" applyNumberFormat="1" applyFont="1" applyFill="1" applyBorder="1" applyAlignment="1">
      <alignment horizontal="left" vertical="center" wrapText="1"/>
    </xf>
    <xf numFmtId="0" fontId="6" fillId="4" borderId="1" xfId="0" applyNumberFormat="1" applyFont="1" applyFill="1" applyBorder="1" applyAlignment="1">
      <alignment horizontal="left" vertical="center" wrapText="1"/>
    </xf>
    <xf numFmtId="0" fontId="5" fillId="32" borderId="1" xfId="0" applyNumberFormat="1" applyFont="1" applyFill="1" applyBorder="1" applyAlignment="1">
      <alignment horizontal="left" vertical="center" wrapText="1"/>
    </xf>
    <xf numFmtId="0" fontId="6" fillId="32" borderId="1" xfId="0" applyNumberFormat="1" applyFont="1" applyFill="1" applyBorder="1" applyAlignment="1">
      <alignment horizontal="left" vertical="center" wrapText="1"/>
    </xf>
    <xf numFmtId="0" fontId="0" fillId="33" borderId="0" xfId="0" applyNumberFormat="1" applyFill="1"/>
    <xf numFmtId="14" fontId="5" fillId="4" borderId="1" xfId="0" applyNumberFormat="1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14" fontId="5" fillId="8" borderId="1" xfId="0" applyNumberFormat="1" applyFont="1" applyFill="1" applyBorder="1" applyAlignment="1">
      <alignment horizontal="center" vertical="center" wrapText="1"/>
    </xf>
    <xf numFmtId="14" fontId="5" fillId="10" borderId="1" xfId="0" applyNumberFormat="1" applyFont="1" applyFill="1" applyBorder="1" applyAlignment="1">
      <alignment horizontal="center" vertical="center" wrapText="1"/>
    </xf>
    <xf numFmtId="14" fontId="5" fillId="12" borderId="1" xfId="0" applyNumberFormat="1" applyFont="1" applyFill="1" applyBorder="1" applyAlignment="1">
      <alignment horizontal="center" vertical="center" wrapText="1"/>
    </xf>
    <xf numFmtId="14" fontId="5" fillId="14" borderId="1" xfId="0" applyNumberFormat="1" applyFont="1" applyFill="1" applyBorder="1" applyAlignment="1">
      <alignment horizontal="center" vertical="center" wrapText="1"/>
    </xf>
    <xf numFmtId="14" fontId="5" fillId="16" borderId="1" xfId="0" applyNumberFormat="1" applyFont="1" applyFill="1" applyBorder="1" applyAlignment="1">
      <alignment horizontal="center" vertical="center" wrapText="1"/>
    </xf>
    <xf numFmtId="14" fontId="5" fillId="19" borderId="1" xfId="0" applyNumberFormat="1" applyFont="1" applyFill="1" applyBorder="1" applyAlignment="1">
      <alignment horizontal="center" vertical="center" wrapText="1"/>
    </xf>
    <xf numFmtId="14" fontId="5" fillId="21" borderId="1" xfId="0" applyNumberFormat="1" applyFont="1" applyFill="1" applyBorder="1" applyAlignment="1">
      <alignment horizontal="center" vertical="center" wrapText="1"/>
    </xf>
    <xf numFmtId="14" fontId="5" fillId="23" borderId="1" xfId="0" applyNumberFormat="1" applyFont="1" applyFill="1" applyBorder="1" applyAlignment="1">
      <alignment horizontal="center" vertical="center" wrapText="1"/>
    </xf>
    <xf numFmtId="14" fontId="5" fillId="25" borderId="1" xfId="0" applyNumberFormat="1" applyFont="1" applyFill="1" applyBorder="1" applyAlignment="1">
      <alignment horizontal="center" vertical="center" wrapText="1"/>
    </xf>
    <xf numFmtId="14" fontId="5" fillId="28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10" fillId="28" borderId="1" xfId="0" applyFont="1" applyFill="1" applyBorder="1" applyAlignment="1">
      <alignment horizontal="left" vertical="center" wrapText="1"/>
    </xf>
    <xf numFmtId="0" fontId="10" fillId="28" borderId="1" xfId="0" applyFont="1" applyFill="1" applyBorder="1" applyAlignment="1">
      <alignment horizontal="center" vertical="center" wrapText="1"/>
    </xf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0" xfId="0"/>
    <xf numFmtId="0" fontId="7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4" fillId="2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29" borderId="1" xfId="0" applyFont="1" applyFill="1" applyBorder="1" applyAlignment="1">
      <alignment horizontal="left" vertical="center" wrapText="1"/>
    </xf>
    <xf numFmtId="0" fontId="4" fillId="26" borderId="1" xfId="0" applyFont="1" applyFill="1" applyBorder="1" applyAlignment="1">
      <alignment horizontal="left" vertical="center" wrapText="1"/>
    </xf>
    <xf numFmtId="0" fontId="4" fillId="27" borderId="1" xfId="0" applyFont="1" applyFill="1" applyBorder="1" applyAlignment="1">
      <alignment horizontal="left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4" fillId="15" borderId="1" xfId="0" applyFont="1" applyFill="1" applyBorder="1" applyAlignment="1">
      <alignment horizontal="left" vertical="center" wrapText="1"/>
    </xf>
    <xf numFmtId="0" fontId="4" fillId="24" borderId="1" xfId="0" applyFont="1" applyFill="1" applyBorder="1" applyAlignment="1">
      <alignment horizontal="left" vertical="center" wrapText="1"/>
    </xf>
    <xf numFmtId="0" fontId="9" fillId="27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30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"/>
  <sheetViews>
    <sheetView tabSelected="1" zoomScale="85" zoomScaleNormal="85" workbookViewId="0">
      <pane ySplit="4" topLeftCell="A83" activePane="bottomLeft" state="frozen"/>
      <selection pane="bottomLeft" activeCell="D85" sqref="D85"/>
    </sheetView>
  </sheetViews>
  <sheetFormatPr defaultRowHeight="15" x14ac:dyDescent="0.25"/>
  <cols>
    <col min="1" max="1" width="5" customWidth="1"/>
    <col min="2" max="2" width="7" customWidth="1"/>
    <col min="3" max="3" width="38" customWidth="1"/>
    <col min="4" max="4" width="14" customWidth="1"/>
    <col min="5" max="5" width="11.42578125" style="63" customWidth="1"/>
    <col min="6" max="10" width="9" customWidth="1"/>
    <col min="11" max="11" width="12" customWidth="1"/>
    <col min="12" max="12" width="8" customWidth="1"/>
    <col min="13" max="14" width="9" customWidth="1"/>
    <col min="15" max="15" width="62" customWidth="1"/>
  </cols>
  <sheetData>
    <row r="1" spans="1:15" ht="27.95" customHeight="1" x14ac:dyDescent="0.25">
      <c r="A1" s="76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2" spans="1:15" ht="14.1" customHeight="1" x14ac:dyDescent="0.25">
      <c r="A2" s="79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</row>
    <row r="3" spans="1:15" ht="50.1" customHeight="1" x14ac:dyDescent="0.25">
      <c r="A3" s="67" t="s">
        <v>2</v>
      </c>
      <c r="B3" s="67" t="s">
        <v>3</v>
      </c>
      <c r="C3" s="67" t="s">
        <v>4</v>
      </c>
      <c r="D3" s="67" t="s">
        <v>5</v>
      </c>
      <c r="E3" s="83" t="s">
        <v>6</v>
      </c>
      <c r="F3" s="67" t="s">
        <v>7</v>
      </c>
      <c r="G3" s="67" t="s">
        <v>8</v>
      </c>
      <c r="H3" s="67" t="s">
        <v>9</v>
      </c>
      <c r="I3" s="67" t="s">
        <v>10</v>
      </c>
      <c r="J3" s="67" t="s">
        <v>11</v>
      </c>
      <c r="K3" s="67" t="s">
        <v>12</v>
      </c>
      <c r="L3" s="67" t="s">
        <v>13</v>
      </c>
      <c r="M3" s="67" t="s">
        <v>14</v>
      </c>
      <c r="N3" s="67" t="s">
        <v>15</v>
      </c>
      <c r="O3" s="67" t="s">
        <v>16</v>
      </c>
    </row>
    <row r="4" spans="1:15" ht="50.1" customHeight="1" x14ac:dyDescent="0.25">
      <c r="A4" s="68"/>
      <c r="B4" s="68"/>
      <c r="C4" s="68"/>
      <c r="D4" s="68"/>
      <c r="E4" s="84"/>
      <c r="F4" s="68"/>
      <c r="G4" s="68"/>
      <c r="H4" s="68"/>
      <c r="I4" s="68"/>
      <c r="J4" s="68"/>
      <c r="K4" s="68"/>
      <c r="L4" s="68"/>
      <c r="M4" s="68"/>
      <c r="N4" s="68"/>
      <c r="O4" s="68"/>
    </row>
    <row r="5" spans="1:15" ht="20.100000000000001" customHeight="1" x14ac:dyDescent="0.25">
      <c r="A5" s="74" t="s">
        <v>17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</row>
    <row r="6" spans="1:15" ht="45" customHeight="1" x14ac:dyDescent="0.25">
      <c r="A6" s="2">
        <v>1</v>
      </c>
      <c r="B6" s="2" t="s">
        <v>18</v>
      </c>
      <c r="C6" s="3" t="s">
        <v>19</v>
      </c>
      <c r="D6" s="2" t="s">
        <v>20</v>
      </c>
      <c r="E6" s="50" t="s">
        <v>21</v>
      </c>
      <c r="F6" s="2">
        <v>2</v>
      </c>
      <c r="G6" s="2">
        <v>3</v>
      </c>
      <c r="H6" s="2">
        <v>1</v>
      </c>
      <c r="I6" s="2">
        <v>0</v>
      </c>
      <c r="J6" s="2">
        <v>28</v>
      </c>
      <c r="K6" s="2">
        <v>0</v>
      </c>
      <c r="L6" s="2">
        <v>0</v>
      </c>
      <c r="M6" s="2">
        <v>0</v>
      </c>
      <c r="N6" s="2">
        <v>0</v>
      </c>
      <c r="O6" s="4" t="s">
        <v>22</v>
      </c>
    </row>
    <row r="7" spans="1:15" ht="45" customHeight="1" x14ac:dyDescent="0.25">
      <c r="A7" s="5">
        <v>2</v>
      </c>
      <c r="B7" s="5" t="s">
        <v>18</v>
      </c>
      <c r="C7" s="6" t="s">
        <v>19</v>
      </c>
      <c r="D7" s="5" t="s">
        <v>23</v>
      </c>
      <c r="E7" s="52" t="s">
        <v>24</v>
      </c>
      <c r="F7" s="5">
        <v>2</v>
      </c>
      <c r="G7" s="5">
        <v>3</v>
      </c>
      <c r="H7" s="5">
        <v>1</v>
      </c>
      <c r="I7" s="5">
        <v>0</v>
      </c>
      <c r="J7" s="5">
        <v>28</v>
      </c>
      <c r="K7" s="5">
        <v>0</v>
      </c>
      <c r="L7" s="5">
        <v>0</v>
      </c>
      <c r="M7" s="5">
        <v>0</v>
      </c>
      <c r="N7" s="5">
        <v>0</v>
      </c>
      <c r="O7" s="7" t="s">
        <v>22</v>
      </c>
    </row>
    <row r="8" spans="1:15" ht="15.95" customHeight="1" x14ac:dyDescent="0.25">
      <c r="A8" s="69" t="s">
        <v>25</v>
      </c>
      <c r="B8" s="68"/>
      <c r="C8" s="68"/>
      <c r="D8" s="68"/>
      <c r="E8" s="68"/>
      <c r="F8" s="8">
        <f t="shared" ref="F8:O8" si="0">SUM(F6:F7)</f>
        <v>4</v>
      </c>
      <c r="G8" s="8">
        <f t="shared" si="0"/>
        <v>6</v>
      </c>
      <c r="H8" s="8">
        <f t="shared" si="0"/>
        <v>2</v>
      </c>
      <c r="I8" s="8">
        <f t="shared" si="0"/>
        <v>0</v>
      </c>
      <c r="J8" s="8">
        <f t="shared" si="0"/>
        <v>56</v>
      </c>
      <c r="K8" s="8">
        <f t="shared" si="0"/>
        <v>0</v>
      </c>
      <c r="L8" s="8">
        <f t="shared" si="0"/>
        <v>0</v>
      </c>
      <c r="M8" s="8">
        <f t="shared" si="0"/>
        <v>0</v>
      </c>
      <c r="N8" s="8">
        <f t="shared" si="0"/>
        <v>0</v>
      </c>
      <c r="O8" s="8">
        <f t="shared" si="0"/>
        <v>0</v>
      </c>
    </row>
    <row r="9" spans="1:15" ht="20.100000000000001" customHeight="1" x14ac:dyDescent="0.25">
      <c r="A9" s="70" t="s">
        <v>26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</row>
    <row r="10" spans="1:15" ht="45" customHeight="1" x14ac:dyDescent="0.25">
      <c r="A10" s="2">
        <v>3</v>
      </c>
      <c r="B10" s="2" t="s">
        <v>27</v>
      </c>
      <c r="C10" s="3" t="s">
        <v>28</v>
      </c>
      <c r="D10" s="2" t="s">
        <v>29</v>
      </c>
      <c r="E10" s="50" t="s">
        <v>30</v>
      </c>
      <c r="F10" s="2">
        <v>1</v>
      </c>
      <c r="G10" s="2">
        <v>4</v>
      </c>
      <c r="H10" s="2">
        <v>0</v>
      </c>
      <c r="I10" s="2">
        <v>0</v>
      </c>
      <c r="J10" s="2">
        <v>24</v>
      </c>
      <c r="K10" s="2">
        <v>0</v>
      </c>
      <c r="L10" s="2">
        <v>0</v>
      </c>
      <c r="M10" s="2">
        <v>0</v>
      </c>
      <c r="N10" s="2">
        <v>0</v>
      </c>
      <c r="O10" s="4" t="s">
        <v>31</v>
      </c>
    </row>
    <row r="11" spans="1:15" ht="45" customHeight="1" x14ac:dyDescent="0.25">
      <c r="A11" s="9">
        <v>4</v>
      </c>
      <c r="B11" s="9" t="s">
        <v>32</v>
      </c>
      <c r="C11" s="10" t="s">
        <v>28</v>
      </c>
      <c r="D11" s="9" t="s">
        <v>29</v>
      </c>
      <c r="E11" s="53" t="s">
        <v>33</v>
      </c>
      <c r="F11" s="9">
        <v>1</v>
      </c>
      <c r="G11" s="9">
        <v>4</v>
      </c>
      <c r="H11" s="9">
        <v>0</v>
      </c>
      <c r="I11" s="9">
        <v>0</v>
      </c>
      <c r="J11" s="9">
        <v>24</v>
      </c>
      <c r="K11" s="9">
        <v>0</v>
      </c>
      <c r="L11" s="9">
        <v>0</v>
      </c>
      <c r="M11" s="9">
        <v>0</v>
      </c>
      <c r="N11" s="9">
        <v>0</v>
      </c>
      <c r="O11" s="11" t="s">
        <v>31</v>
      </c>
    </row>
    <row r="12" spans="1:15" ht="45" customHeight="1" x14ac:dyDescent="0.25">
      <c r="A12" s="2">
        <v>5</v>
      </c>
      <c r="B12" s="2" t="s">
        <v>34</v>
      </c>
      <c r="C12" s="3" t="s">
        <v>28</v>
      </c>
      <c r="D12" s="2" t="s">
        <v>29</v>
      </c>
      <c r="E12" s="50" t="s">
        <v>21</v>
      </c>
      <c r="F12" s="2">
        <v>1</v>
      </c>
      <c r="G12" s="2">
        <v>4</v>
      </c>
      <c r="H12" s="2">
        <v>0</v>
      </c>
      <c r="I12" s="2">
        <v>0</v>
      </c>
      <c r="J12" s="2">
        <v>24</v>
      </c>
      <c r="K12" s="2">
        <v>0</v>
      </c>
      <c r="L12" s="2">
        <v>0</v>
      </c>
      <c r="M12" s="2">
        <v>0</v>
      </c>
      <c r="N12" s="2">
        <v>0</v>
      </c>
      <c r="O12" s="4" t="s">
        <v>31</v>
      </c>
    </row>
    <row r="13" spans="1:15" ht="45" customHeight="1" x14ac:dyDescent="0.25">
      <c r="A13" s="9">
        <v>6</v>
      </c>
      <c r="B13" s="9" t="s">
        <v>34</v>
      </c>
      <c r="C13" s="10" t="s">
        <v>28</v>
      </c>
      <c r="D13" s="9" t="s">
        <v>35</v>
      </c>
      <c r="E13" s="53" t="s">
        <v>36</v>
      </c>
      <c r="F13" s="9">
        <v>1</v>
      </c>
      <c r="G13" s="9">
        <v>4</v>
      </c>
      <c r="H13" s="9">
        <v>0</v>
      </c>
      <c r="I13" s="9">
        <v>0</v>
      </c>
      <c r="J13" s="9">
        <v>24</v>
      </c>
      <c r="K13" s="9">
        <v>0</v>
      </c>
      <c r="L13" s="9">
        <v>0</v>
      </c>
      <c r="M13" s="9">
        <v>0</v>
      </c>
      <c r="N13" s="9">
        <v>0</v>
      </c>
      <c r="O13" s="11" t="s">
        <v>31</v>
      </c>
    </row>
    <row r="14" spans="1:15" ht="15.95" customHeight="1" x14ac:dyDescent="0.25">
      <c r="A14" s="69" t="s">
        <v>37</v>
      </c>
      <c r="B14" s="68"/>
      <c r="C14" s="68"/>
      <c r="D14" s="68"/>
      <c r="E14" s="68"/>
      <c r="F14" s="8">
        <f t="shared" ref="F14:O14" si="1">SUM(F10:F13)</f>
        <v>4</v>
      </c>
      <c r="G14" s="8">
        <f t="shared" si="1"/>
        <v>16</v>
      </c>
      <c r="H14" s="8">
        <f t="shared" si="1"/>
        <v>0</v>
      </c>
      <c r="I14" s="8">
        <f t="shared" si="1"/>
        <v>0</v>
      </c>
      <c r="J14" s="8">
        <f t="shared" si="1"/>
        <v>96</v>
      </c>
      <c r="K14" s="8">
        <f t="shared" si="1"/>
        <v>0</v>
      </c>
      <c r="L14" s="8">
        <f t="shared" si="1"/>
        <v>0</v>
      </c>
      <c r="M14" s="8">
        <f t="shared" si="1"/>
        <v>0</v>
      </c>
      <c r="N14" s="8">
        <f t="shared" si="1"/>
        <v>0</v>
      </c>
      <c r="O14" s="8">
        <f t="shared" si="1"/>
        <v>0</v>
      </c>
    </row>
    <row r="15" spans="1:15" ht="20.100000000000001" customHeight="1" x14ac:dyDescent="0.25">
      <c r="A15" s="73" t="s">
        <v>38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</row>
    <row r="16" spans="1:15" ht="45" customHeight="1" x14ac:dyDescent="0.25">
      <c r="A16" s="2">
        <v>7</v>
      </c>
      <c r="B16" s="2" t="s">
        <v>39</v>
      </c>
      <c r="C16" s="3" t="s">
        <v>40</v>
      </c>
      <c r="D16" s="2" t="s">
        <v>41</v>
      </c>
      <c r="E16" s="50" t="s">
        <v>42</v>
      </c>
      <c r="F16" s="2">
        <v>2</v>
      </c>
      <c r="G16" s="2">
        <v>4</v>
      </c>
      <c r="H16" s="2">
        <v>1</v>
      </c>
      <c r="I16" s="2">
        <v>0</v>
      </c>
      <c r="J16" s="2">
        <v>38</v>
      </c>
      <c r="K16" s="2">
        <v>80</v>
      </c>
      <c r="L16" s="2">
        <v>0</v>
      </c>
      <c r="M16" s="2">
        <v>0</v>
      </c>
      <c r="N16" s="2">
        <v>0</v>
      </c>
      <c r="O16" s="4" t="s">
        <v>43</v>
      </c>
    </row>
    <row r="17" spans="1:15" ht="45" customHeight="1" x14ac:dyDescent="0.25">
      <c r="A17" s="2">
        <v>8</v>
      </c>
      <c r="B17" s="12" t="s">
        <v>44</v>
      </c>
      <c r="C17" s="13" t="s">
        <v>40</v>
      </c>
      <c r="D17" s="12" t="s">
        <v>45</v>
      </c>
      <c r="E17" s="54" t="s">
        <v>46</v>
      </c>
      <c r="F17" s="12">
        <v>2</v>
      </c>
      <c r="G17" s="12">
        <v>4</v>
      </c>
      <c r="H17" s="12">
        <v>1</v>
      </c>
      <c r="I17" s="12">
        <v>0</v>
      </c>
      <c r="J17" s="12">
        <v>38</v>
      </c>
      <c r="K17" s="12">
        <v>40</v>
      </c>
      <c r="L17" s="12">
        <v>0</v>
      </c>
      <c r="M17" s="12">
        <v>0</v>
      </c>
      <c r="N17" s="12">
        <v>0</v>
      </c>
      <c r="O17" s="14" t="s">
        <v>43</v>
      </c>
    </row>
    <row r="18" spans="1:15" s="66" customFormat="1" ht="45" customHeight="1" x14ac:dyDescent="0.25">
      <c r="A18" s="2">
        <v>9</v>
      </c>
      <c r="B18" s="2">
        <v>103</v>
      </c>
      <c r="C18" s="3" t="s">
        <v>40</v>
      </c>
      <c r="D18" s="2" t="s">
        <v>41</v>
      </c>
      <c r="E18" s="50">
        <v>46202</v>
      </c>
      <c r="F18" s="2">
        <v>2</v>
      </c>
      <c r="G18" s="2">
        <v>4</v>
      </c>
      <c r="H18" s="2">
        <v>1</v>
      </c>
      <c r="I18" s="2">
        <v>0</v>
      </c>
      <c r="J18" s="2">
        <v>38</v>
      </c>
      <c r="K18" s="2">
        <v>80</v>
      </c>
      <c r="L18" s="2">
        <v>0</v>
      </c>
      <c r="M18" s="2">
        <v>0</v>
      </c>
      <c r="N18" s="2">
        <v>0</v>
      </c>
      <c r="O18" s="4" t="s">
        <v>43</v>
      </c>
    </row>
    <row r="19" spans="1:15" ht="45" customHeight="1" x14ac:dyDescent="0.25">
      <c r="A19" s="2">
        <v>10</v>
      </c>
      <c r="B19" s="2" t="s">
        <v>47</v>
      </c>
      <c r="C19" s="3" t="s">
        <v>40</v>
      </c>
      <c r="D19" s="2" t="s">
        <v>35</v>
      </c>
      <c r="E19" s="50" t="s">
        <v>48</v>
      </c>
      <c r="F19" s="2">
        <v>2</v>
      </c>
      <c r="G19" s="2">
        <v>4</v>
      </c>
      <c r="H19" s="2">
        <v>1</v>
      </c>
      <c r="I19" s="2">
        <v>0</v>
      </c>
      <c r="J19" s="2">
        <v>38</v>
      </c>
      <c r="K19" s="2">
        <v>40</v>
      </c>
      <c r="L19" s="2">
        <v>0</v>
      </c>
      <c r="M19" s="2">
        <v>0</v>
      </c>
      <c r="N19" s="2">
        <v>0</v>
      </c>
      <c r="O19" s="4" t="s">
        <v>43</v>
      </c>
    </row>
    <row r="20" spans="1:15" ht="45" customHeight="1" x14ac:dyDescent="0.25">
      <c r="A20" s="2">
        <v>11</v>
      </c>
      <c r="B20" s="12" t="s">
        <v>47</v>
      </c>
      <c r="C20" s="13" t="s">
        <v>40</v>
      </c>
      <c r="D20" s="12" t="s">
        <v>45</v>
      </c>
      <c r="E20" s="54" t="s">
        <v>49</v>
      </c>
      <c r="F20" s="12">
        <v>2</v>
      </c>
      <c r="G20" s="12">
        <v>4</v>
      </c>
      <c r="H20" s="12">
        <v>1</v>
      </c>
      <c r="I20" s="12">
        <v>0</v>
      </c>
      <c r="J20" s="12">
        <v>38</v>
      </c>
      <c r="K20" s="12">
        <v>40</v>
      </c>
      <c r="L20" s="12">
        <v>0</v>
      </c>
      <c r="M20" s="12">
        <v>0</v>
      </c>
      <c r="N20" s="12">
        <v>0</v>
      </c>
      <c r="O20" s="14" t="s">
        <v>43</v>
      </c>
    </row>
    <row r="21" spans="1:15" ht="45" customHeight="1" x14ac:dyDescent="0.25">
      <c r="A21" s="2">
        <v>12</v>
      </c>
      <c r="B21" s="2" t="s">
        <v>50</v>
      </c>
      <c r="C21" s="3" t="s">
        <v>40</v>
      </c>
      <c r="D21" s="2" t="s">
        <v>45</v>
      </c>
      <c r="E21" s="50" t="s">
        <v>33</v>
      </c>
      <c r="F21" s="2">
        <v>2</v>
      </c>
      <c r="G21" s="2">
        <v>4</v>
      </c>
      <c r="H21" s="2">
        <v>1</v>
      </c>
      <c r="I21" s="2">
        <v>0</v>
      </c>
      <c r="J21" s="2">
        <v>38</v>
      </c>
      <c r="K21" s="2">
        <v>40</v>
      </c>
      <c r="L21" s="2">
        <v>0</v>
      </c>
      <c r="M21" s="2">
        <v>0</v>
      </c>
      <c r="N21" s="2">
        <v>0</v>
      </c>
      <c r="O21" s="4" t="s">
        <v>43</v>
      </c>
    </row>
    <row r="22" spans="1:15" ht="45" customHeight="1" x14ac:dyDescent="0.25">
      <c r="A22" s="2">
        <v>13</v>
      </c>
      <c r="B22" s="12" t="s">
        <v>51</v>
      </c>
      <c r="C22" s="13" t="s">
        <v>40</v>
      </c>
      <c r="D22" s="12" t="s">
        <v>35</v>
      </c>
      <c r="E22" s="54" t="s">
        <v>30</v>
      </c>
      <c r="F22" s="12">
        <v>2</v>
      </c>
      <c r="G22" s="12">
        <v>4</v>
      </c>
      <c r="H22" s="12">
        <v>1</v>
      </c>
      <c r="I22" s="12">
        <v>0</v>
      </c>
      <c r="J22" s="12">
        <v>38</v>
      </c>
      <c r="K22" s="12">
        <v>40</v>
      </c>
      <c r="L22" s="12">
        <v>0</v>
      </c>
      <c r="M22" s="12">
        <v>0</v>
      </c>
      <c r="N22" s="12">
        <v>0</v>
      </c>
      <c r="O22" s="14" t="s">
        <v>43</v>
      </c>
    </row>
    <row r="23" spans="1:15" ht="45" customHeight="1" x14ac:dyDescent="0.25">
      <c r="A23" s="2">
        <v>14</v>
      </c>
      <c r="B23" s="2" t="s">
        <v>51</v>
      </c>
      <c r="C23" s="3" t="s">
        <v>40</v>
      </c>
      <c r="D23" s="2" t="s">
        <v>45</v>
      </c>
      <c r="E23" s="50" t="s">
        <v>52</v>
      </c>
      <c r="F23" s="2">
        <v>2</v>
      </c>
      <c r="G23" s="2">
        <v>4</v>
      </c>
      <c r="H23" s="2">
        <v>1</v>
      </c>
      <c r="I23" s="2">
        <v>0</v>
      </c>
      <c r="J23" s="2">
        <v>38</v>
      </c>
      <c r="K23" s="2">
        <v>40</v>
      </c>
      <c r="L23" s="2">
        <v>0</v>
      </c>
      <c r="M23" s="2">
        <v>0</v>
      </c>
      <c r="N23" s="2">
        <v>0</v>
      </c>
      <c r="O23" s="4" t="s">
        <v>43</v>
      </c>
    </row>
    <row r="24" spans="1:15" ht="45" customHeight="1" x14ac:dyDescent="0.25">
      <c r="A24" s="2">
        <v>15</v>
      </c>
      <c r="B24" s="12" t="s">
        <v>53</v>
      </c>
      <c r="C24" s="13" t="s">
        <v>40</v>
      </c>
      <c r="D24" s="12" t="s">
        <v>29</v>
      </c>
      <c r="E24" s="54" t="s">
        <v>48</v>
      </c>
      <c r="F24" s="12">
        <v>2</v>
      </c>
      <c r="G24" s="12">
        <v>4</v>
      </c>
      <c r="H24" s="12">
        <v>1</v>
      </c>
      <c r="I24" s="12">
        <v>0</v>
      </c>
      <c r="J24" s="12">
        <v>38</v>
      </c>
      <c r="K24" s="12">
        <v>40</v>
      </c>
      <c r="L24" s="12">
        <v>0</v>
      </c>
      <c r="M24" s="12">
        <v>0</v>
      </c>
      <c r="N24" s="12">
        <v>0</v>
      </c>
      <c r="O24" s="14" t="s">
        <v>43</v>
      </c>
    </row>
    <row r="25" spans="1:15" ht="45" customHeight="1" x14ac:dyDescent="0.25">
      <c r="A25" s="2">
        <v>16</v>
      </c>
      <c r="B25" s="2" t="s">
        <v>54</v>
      </c>
      <c r="C25" s="3" t="s">
        <v>40</v>
      </c>
      <c r="D25" s="2" t="s">
        <v>45</v>
      </c>
      <c r="E25" s="50" t="s">
        <v>55</v>
      </c>
      <c r="F25" s="2">
        <v>2</v>
      </c>
      <c r="G25" s="2">
        <v>4</v>
      </c>
      <c r="H25" s="2">
        <v>1</v>
      </c>
      <c r="I25" s="2">
        <v>0</v>
      </c>
      <c r="J25" s="2">
        <v>38</v>
      </c>
      <c r="K25" s="2">
        <v>40</v>
      </c>
      <c r="L25" s="2">
        <v>0</v>
      </c>
      <c r="M25" s="2">
        <v>0</v>
      </c>
      <c r="N25" s="2">
        <v>0</v>
      </c>
      <c r="O25" s="4" t="s">
        <v>43</v>
      </c>
    </row>
    <row r="26" spans="1:15" ht="45" customHeight="1" x14ac:dyDescent="0.25">
      <c r="A26" s="2">
        <v>17</v>
      </c>
      <c r="B26" s="12" t="s">
        <v>56</v>
      </c>
      <c r="C26" s="13" t="s">
        <v>40</v>
      </c>
      <c r="D26" s="12" t="s">
        <v>29</v>
      </c>
      <c r="E26" s="54" t="s">
        <v>30</v>
      </c>
      <c r="F26" s="12">
        <v>2</v>
      </c>
      <c r="G26" s="12">
        <v>4</v>
      </c>
      <c r="H26" s="12">
        <v>1</v>
      </c>
      <c r="I26" s="12">
        <v>0</v>
      </c>
      <c r="J26" s="12">
        <v>38</v>
      </c>
      <c r="K26" s="12">
        <v>40</v>
      </c>
      <c r="L26" s="12">
        <v>0</v>
      </c>
      <c r="M26" s="12">
        <v>0</v>
      </c>
      <c r="N26" s="12">
        <v>0</v>
      </c>
      <c r="O26" s="14" t="s">
        <v>43</v>
      </c>
    </row>
    <row r="27" spans="1:15" ht="45" customHeight="1" x14ac:dyDescent="0.25">
      <c r="A27" s="2">
        <v>18</v>
      </c>
      <c r="B27" s="2" t="s">
        <v>57</v>
      </c>
      <c r="C27" s="3" t="s">
        <v>40</v>
      </c>
      <c r="D27" s="2" t="s">
        <v>29</v>
      </c>
      <c r="E27" s="50" t="s">
        <v>52</v>
      </c>
      <c r="F27" s="2">
        <v>2</v>
      </c>
      <c r="G27" s="2">
        <v>4</v>
      </c>
      <c r="H27" s="2">
        <v>1</v>
      </c>
      <c r="I27" s="2">
        <v>0</v>
      </c>
      <c r="J27" s="2">
        <v>38</v>
      </c>
      <c r="K27" s="2">
        <v>40</v>
      </c>
      <c r="L27" s="2">
        <v>0</v>
      </c>
      <c r="M27" s="2">
        <v>0</v>
      </c>
      <c r="N27" s="2">
        <v>0</v>
      </c>
      <c r="O27" s="4" t="s">
        <v>43</v>
      </c>
    </row>
    <row r="28" spans="1:15" ht="45" customHeight="1" x14ac:dyDescent="0.25">
      <c r="A28" s="2">
        <v>19</v>
      </c>
      <c r="B28" s="12" t="s">
        <v>58</v>
      </c>
      <c r="C28" s="13" t="s">
        <v>40</v>
      </c>
      <c r="D28" s="12" t="s">
        <v>45</v>
      </c>
      <c r="E28" s="54" t="s">
        <v>59</v>
      </c>
      <c r="F28" s="12">
        <v>2</v>
      </c>
      <c r="G28" s="12">
        <v>4</v>
      </c>
      <c r="H28" s="12">
        <v>1</v>
      </c>
      <c r="I28" s="12">
        <v>0</v>
      </c>
      <c r="J28" s="12">
        <v>38</v>
      </c>
      <c r="K28" s="12">
        <v>40</v>
      </c>
      <c r="L28" s="12">
        <v>0</v>
      </c>
      <c r="M28" s="12">
        <v>0</v>
      </c>
      <c r="N28" s="12">
        <v>0</v>
      </c>
      <c r="O28" s="14" t="s">
        <v>43</v>
      </c>
    </row>
    <row r="29" spans="1:15" ht="45" customHeight="1" x14ac:dyDescent="0.25">
      <c r="A29" s="2">
        <v>20</v>
      </c>
      <c r="B29" s="2" t="s">
        <v>60</v>
      </c>
      <c r="C29" s="3" t="s">
        <v>40</v>
      </c>
      <c r="D29" s="2" t="s">
        <v>41</v>
      </c>
      <c r="E29" s="50" t="s">
        <v>61</v>
      </c>
      <c r="F29" s="2">
        <v>2</v>
      </c>
      <c r="G29" s="2">
        <v>4</v>
      </c>
      <c r="H29" s="2">
        <v>1</v>
      </c>
      <c r="I29" s="2">
        <v>0</v>
      </c>
      <c r="J29" s="2">
        <v>38</v>
      </c>
      <c r="K29" s="2">
        <v>80</v>
      </c>
      <c r="L29" s="2">
        <v>0</v>
      </c>
      <c r="M29" s="2">
        <v>0</v>
      </c>
      <c r="N29" s="2">
        <v>0</v>
      </c>
      <c r="O29" s="4" t="s">
        <v>43</v>
      </c>
    </row>
    <row r="30" spans="1:15" ht="15.95" customHeight="1" x14ac:dyDescent="0.25">
      <c r="A30" s="69" t="s">
        <v>62</v>
      </c>
      <c r="B30" s="68"/>
      <c r="C30" s="68"/>
      <c r="D30" s="68"/>
      <c r="E30" s="68"/>
      <c r="F30" s="8">
        <f t="shared" ref="F30:O30" si="2">SUM(F16:F29)</f>
        <v>28</v>
      </c>
      <c r="G30" s="8">
        <f t="shared" si="2"/>
        <v>56</v>
      </c>
      <c r="H30" s="8">
        <f t="shared" si="2"/>
        <v>14</v>
      </c>
      <c r="I30" s="8">
        <f t="shared" si="2"/>
        <v>0</v>
      </c>
      <c r="J30" s="8">
        <f t="shared" si="2"/>
        <v>532</v>
      </c>
      <c r="K30" s="8">
        <f t="shared" si="2"/>
        <v>680</v>
      </c>
      <c r="L30" s="8">
        <f t="shared" si="2"/>
        <v>0</v>
      </c>
      <c r="M30" s="8">
        <f t="shared" si="2"/>
        <v>0</v>
      </c>
      <c r="N30" s="8">
        <f t="shared" si="2"/>
        <v>0</v>
      </c>
      <c r="O30" s="8">
        <f t="shared" si="2"/>
        <v>0</v>
      </c>
    </row>
    <row r="31" spans="1:15" ht="20.100000000000001" customHeight="1" x14ac:dyDescent="0.25">
      <c r="A31" s="71" t="s">
        <v>63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</row>
    <row r="32" spans="1:15" ht="45" customHeight="1" x14ac:dyDescent="0.25">
      <c r="A32" s="15">
        <v>21</v>
      </c>
      <c r="B32" s="15" t="s">
        <v>64</v>
      </c>
      <c r="C32" s="16" t="s">
        <v>65</v>
      </c>
      <c r="D32" s="15" t="s">
        <v>41</v>
      </c>
      <c r="E32" s="55" t="s">
        <v>66</v>
      </c>
      <c r="F32" s="15">
        <v>2</v>
      </c>
      <c r="G32" s="15">
        <v>4</v>
      </c>
      <c r="H32" s="15">
        <v>1</v>
      </c>
      <c r="I32" s="15">
        <v>0</v>
      </c>
      <c r="J32" s="15">
        <v>38</v>
      </c>
      <c r="K32" s="15">
        <v>80</v>
      </c>
      <c r="L32" s="15">
        <v>0</v>
      </c>
      <c r="M32" s="15">
        <v>0</v>
      </c>
      <c r="N32" s="15">
        <v>0</v>
      </c>
      <c r="O32" s="17" t="s">
        <v>43</v>
      </c>
    </row>
    <row r="33" spans="1:15" ht="45" customHeight="1" x14ac:dyDescent="0.25">
      <c r="A33" s="15">
        <v>22</v>
      </c>
      <c r="B33" s="2" t="s">
        <v>67</v>
      </c>
      <c r="C33" s="3" t="s">
        <v>65</v>
      </c>
      <c r="D33" s="2" t="s">
        <v>45</v>
      </c>
      <c r="E33" s="50" t="s">
        <v>36</v>
      </c>
      <c r="F33" s="2">
        <v>2</v>
      </c>
      <c r="G33" s="2">
        <v>4</v>
      </c>
      <c r="H33" s="2">
        <v>1</v>
      </c>
      <c r="I33" s="2">
        <v>0</v>
      </c>
      <c r="J33" s="2">
        <v>38</v>
      </c>
      <c r="K33" s="2">
        <v>40</v>
      </c>
      <c r="L33" s="2">
        <v>0</v>
      </c>
      <c r="M33" s="2">
        <v>0</v>
      </c>
      <c r="N33" s="2">
        <v>0</v>
      </c>
      <c r="O33" s="4" t="s">
        <v>43</v>
      </c>
    </row>
    <row r="34" spans="1:15" ht="45" customHeight="1" x14ac:dyDescent="0.25">
      <c r="A34" s="15">
        <v>23</v>
      </c>
      <c r="B34" s="15" t="s">
        <v>68</v>
      </c>
      <c r="C34" s="16" t="s">
        <v>65</v>
      </c>
      <c r="D34" s="15" t="s">
        <v>45</v>
      </c>
      <c r="E34" s="55" t="s">
        <v>69</v>
      </c>
      <c r="F34" s="15">
        <v>2</v>
      </c>
      <c r="G34" s="15">
        <v>4</v>
      </c>
      <c r="H34" s="15">
        <v>1</v>
      </c>
      <c r="I34" s="15">
        <v>0</v>
      </c>
      <c r="J34" s="15">
        <v>38</v>
      </c>
      <c r="K34" s="15">
        <v>40</v>
      </c>
      <c r="L34" s="15">
        <v>0</v>
      </c>
      <c r="M34" s="15">
        <v>0</v>
      </c>
      <c r="N34" s="15">
        <v>0</v>
      </c>
      <c r="O34" s="17" t="s">
        <v>43</v>
      </c>
    </row>
    <row r="35" spans="1:15" ht="45" customHeight="1" x14ac:dyDescent="0.25">
      <c r="A35" s="15">
        <v>24</v>
      </c>
      <c r="B35" s="2" t="s">
        <v>70</v>
      </c>
      <c r="C35" s="3" t="s">
        <v>65</v>
      </c>
      <c r="D35" s="2" t="s">
        <v>41</v>
      </c>
      <c r="E35" s="50" t="s">
        <v>61</v>
      </c>
      <c r="F35" s="2">
        <v>2</v>
      </c>
      <c r="G35" s="2">
        <v>4</v>
      </c>
      <c r="H35" s="2">
        <v>1</v>
      </c>
      <c r="I35" s="2">
        <v>0</v>
      </c>
      <c r="J35" s="2">
        <v>38</v>
      </c>
      <c r="K35" s="2">
        <v>80</v>
      </c>
      <c r="L35" s="2">
        <v>0</v>
      </c>
      <c r="M35" s="2">
        <v>0</v>
      </c>
      <c r="N35" s="2">
        <v>0</v>
      </c>
      <c r="O35" s="4" t="s">
        <v>43</v>
      </c>
    </row>
    <row r="36" spans="1:15" ht="45" customHeight="1" x14ac:dyDescent="0.25">
      <c r="A36" s="15">
        <v>25</v>
      </c>
      <c r="B36" s="15" t="s">
        <v>71</v>
      </c>
      <c r="C36" s="16" t="s">
        <v>65</v>
      </c>
      <c r="D36" s="15" t="s">
        <v>41</v>
      </c>
      <c r="E36" s="55" t="s">
        <v>52</v>
      </c>
      <c r="F36" s="15">
        <v>2</v>
      </c>
      <c r="G36" s="15">
        <v>4</v>
      </c>
      <c r="H36" s="15">
        <v>1</v>
      </c>
      <c r="I36" s="15">
        <v>0</v>
      </c>
      <c r="J36" s="15">
        <v>38</v>
      </c>
      <c r="K36" s="15">
        <v>80</v>
      </c>
      <c r="L36" s="15">
        <v>0</v>
      </c>
      <c r="M36" s="15">
        <v>0</v>
      </c>
      <c r="N36" s="15">
        <v>0</v>
      </c>
      <c r="O36" s="17" t="s">
        <v>43</v>
      </c>
    </row>
    <row r="37" spans="1:15" ht="45" customHeight="1" x14ac:dyDescent="0.25">
      <c r="A37" s="15">
        <v>26</v>
      </c>
      <c r="B37" s="2" t="s">
        <v>72</v>
      </c>
      <c r="C37" s="3" t="s">
        <v>65</v>
      </c>
      <c r="D37" s="2" t="s">
        <v>29</v>
      </c>
      <c r="E37" s="50" t="s">
        <v>73</v>
      </c>
      <c r="F37" s="2">
        <v>2</v>
      </c>
      <c r="G37" s="2">
        <v>4</v>
      </c>
      <c r="H37" s="2">
        <v>1</v>
      </c>
      <c r="I37" s="2">
        <v>0</v>
      </c>
      <c r="J37" s="2">
        <v>38</v>
      </c>
      <c r="K37" s="2">
        <v>40</v>
      </c>
      <c r="L37" s="2">
        <v>0</v>
      </c>
      <c r="M37" s="2">
        <v>0</v>
      </c>
      <c r="N37" s="2">
        <v>0</v>
      </c>
      <c r="O37" s="4" t="s">
        <v>43</v>
      </c>
    </row>
    <row r="38" spans="1:15" ht="45" customHeight="1" x14ac:dyDescent="0.25">
      <c r="A38" s="15">
        <v>27</v>
      </c>
      <c r="B38" s="15" t="s">
        <v>74</v>
      </c>
      <c r="C38" s="16" t="s">
        <v>65</v>
      </c>
      <c r="D38" s="15" t="s">
        <v>29</v>
      </c>
      <c r="E38" s="55" t="s">
        <v>75</v>
      </c>
      <c r="F38" s="15">
        <v>2</v>
      </c>
      <c r="G38" s="15">
        <v>4</v>
      </c>
      <c r="H38" s="15">
        <v>1</v>
      </c>
      <c r="I38" s="15">
        <v>0</v>
      </c>
      <c r="J38" s="15">
        <v>38</v>
      </c>
      <c r="K38" s="15">
        <v>40</v>
      </c>
      <c r="L38" s="15">
        <v>0</v>
      </c>
      <c r="M38" s="15">
        <v>0</v>
      </c>
      <c r="N38" s="15">
        <v>0</v>
      </c>
      <c r="O38" s="17" t="s">
        <v>43</v>
      </c>
    </row>
    <row r="39" spans="1:15" ht="45" customHeight="1" x14ac:dyDescent="0.25">
      <c r="A39" s="15">
        <v>28</v>
      </c>
      <c r="B39" s="2" t="s">
        <v>76</v>
      </c>
      <c r="C39" s="3" t="s">
        <v>65</v>
      </c>
      <c r="D39" s="2" t="s">
        <v>45</v>
      </c>
      <c r="E39" s="50" t="s">
        <v>77</v>
      </c>
      <c r="F39" s="2">
        <v>2</v>
      </c>
      <c r="G39" s="2">
        <v>4</v>
      </c>
      <c r="H39" s="2">
        <v>1</v>
      </c>
      <c r="I39" s="2">
        <v>0</v>
      </c>
      <c r="J39" s="2">
        <v>38</v>
      </c>
      <c r="K39" s="2">
        <v>40</v>
      </c>
      <c r="L39" s="2">
        <v>0</v>
      </c>
      <c r="M39" s="2">
        <v>0</v>
      </c>
      <c r="N39" s="2">
        <v>0</v>
      </c>
      <c r="O39" s="4" t="s">
        <v>43</v>
      </c>
    </row>
    <row r="40" spans="1:15" ht="45" customHeight="1" x14ac:dyDescent="0.25">
      <c r="A40" s="15">
        <v>29</v>
      </c>
      <c r="B40" s="15" t="s">
        <v>78</v>
      </c>
      <c r="C40" s="16" t="s">
        <v>65</v>
      </c>
      <c r="D40" s="15" t="s">
        <v>41</v>
      </c>
      <c r="E40" s="55" t="s">
        <v>69</v>
      </c>
      <c r="F40" s="15">
        <v>2</v>
      </c>
      <c r="G40" s="15">
        <v>4</v>
      </c>
      <c r="H40" s="15">
        <v>1</v>
      </c>
      <c r="I40" s="15">
        <v>0</v>
      </c>
      <c r="J40" s="15">
        <v>38</v>
      </c>
      <c r="K40" s="15">
        <v>80</v>
      </c>
      <c r="L40" s="15">
        <v>0</v>
      </c>
      <c r="M40" s="15">
        <v>0</v>
      </c>
      <c r="N40" s="15">
        <v>0</v>
      </c>
      <c r="O40" s="17" t="s">
        <v>43</v>
      </c>
    </row>
    <row r="41" spans="1:15" ht="45" customHeight="1" x14ac:dyDescent="0.25">
      <c r="A41" s="15">
        <v>30</v>
      </c>
      <c r="B41" s="2" t="s">
        <v>79</v>
      </c>
      <c r="C41" s="3" t="s">
        <v>65</v>
      </c>
      <c r="D41" s="2" t="s">
        <v>45</v>
      </c>
      <c r="E41" s="50" t="s">
        <v>42</v>
      </c>
      <c r="F41" s="2">
        <v>2</v>
      </c>
      <c r="G41" s="2">
        <v>4</v>
      </c>
      <c r="H41" s="2">
        <v>1</v>
      </c>
      <c r="I41" s="2">
        <v>0</v>
      </c>
      <c r="J41" s="2">
        <v>38</v>
      </c>
      <c r="K41" s="2">
        <v>40</v>
      </c>
      <c r="L41" s="2">
        <v>0</v>
      </c>
      <c r="M41" s="2">
        <v>0</v>
      </c>
      <c r="N41" s="2">
        <v>0</v>
      </c>
      <c r="O41" s="4" t="s">
        <v>43</v>
      </c>
    </row>
    <row r="42" spans="1:15" ht="45" customHeight="1" x14ac:dyDescent="0.25">
      <c r="A42" s="15">
        <v>31</v>
      </c>
      <c r="B42" s="15" t="s">
        <v>80</v>
      </c>
      <c r="C42" s="16" t="s">
        <v>65</v>
      </c>
      <c r="D42" s="15" t="s">
        <v>45</v>
      </c>
      <c r="E42" s="55" t="s">
        <v>42</v>
      </c>
      <c r="F42" s="15">
        <v>2</v>
      </c>
      <c r="G42" s="15">
        <v>4</v>
      </c>
      <c r="H42" s="15">
        <v>1</v>
      </c>
      <c r="I42" s="15">
        <v>0</v>
      </c>
      <c r="J42" s="15">
        <v>38</v>
      </c>
      <c r="K42" s="15">
        <v>40</v>
      </c>
      <c r="L42" s="15">
        <v>0</v>
      </c>
      <c r="M42" s="15">
        <v>0</v>
      </c>
      <c r="N42" s="15">
        <v>0</v>
      </c>
      <c r="O42" s="17" t="s">
        <v>43</v>
      </c>
    </row>
    <row r="43" spans="1:15" ht="45" customHeight="1" x14ac:dyDescent="0.25">
      <c r="A43" s="15">
        <v>32</v>
      </c>
      <c r="B43" s="2" t="s">
        <v>81</v>
      </c>
      <c r="C43" s="3" t="s">
        <v>65</v>
      </c>
      <c r="D43" s="2" t="s">
        <v>41</v>
      </c>
      <c r="E43" s="50" t="s">
        <v>55</v>
      </c>
      <c r="F43" s="2">
        <v>2</v>
      </c>
      <c r="G43" s="2">
        <v>4</v>
      </c>
      <c r="H43" s="2">
        <v>1</v>
      </c>
      <c r="I43" s="2">
        <v>0</v>
      </c>
      <c r="J43" s="2">
        <v>38</v>
      </c>
      <c r="K43" s="2">
        <v>80</v>
      </c>
      <c r="L43" s="2">
        <v>0</v>
      </c>
      <c r="M43" s="2">
        <v>0</v>
      </c>
      <c r="N43" s="2">
        <v>0</v>
      </c>
      <c r="O43" s="4" t="s">
        <v>43</v>
      </c>
    </row>
    <row r="44" spans="1:15" ht="45" customHeight="1" x14ac:dyDescent="0.25">
      <c r="A44" s="15">
        <v>33</v>
      </c>
      <c r="B44" s="15" t="s">
        <v>82</v>
      </c>
      <c r="C44" s="16" t="s">
        <v>65</v>
      </c>
      <c r="D44" s="15" t="s">
        <v>45</v>
      </c>
      <c r="E44" s="55" t="s">
        <v>33</v>
      </c>
      <c r="F44" s="15">
        <v>2</v>
      </c>
      <c r="G44" s="15">
        <v>4</v>
      </c>
      <c r="H44" s="15">
        <v>1</v>
      </c>
      <c r="I44" s="15">
        <v>0</v>
      </c>
      <c r="J44" s="15">
        <v>38</v>
      </c>
      <c r="K44" s="15">
        <v>40</v>
      </c>
      <c r="L44" s="15">
        <v>0</v>
      </c>
      <c r="M44" s="15">
        <v>0</v>
      </c>
      <c r="N44" s="15">
        <v>0</v>
      </c>
      <c r="O44" s="17" t="s">
        <v>43</v>
      </c>
    </row>
    <row r="45" spans="1:15" ht="45" customHeight="1" x14ac:dyDescent="0.25">
      <c r="A45" s="15">
        <v>34</v>
      </c>
      <c r="B45" s="2" t="s">
        <v>82</v>
      </c>
      <c r="C45" s="3" t="s">
        <v>65</v>
      </c>
      <c r="D45" s="2" t="s">
        <v>35</v>
      </c>
      <c r="E45" s="50" t="s">
        <v>49</v>
      </c>
      <c r="F45" s="2">
        <v>2</v>
      </c>
      <c r="G45" s="2">
        <v>4</v>
      </c>
      <c r="H45" s="2">
        <v>1</v>
      </c>
      <c r="I45" s="2">
        <v>0</v>
      </c>
      <c r="J45" s="2">
        <v>38</v>
      </c>
      <c r="K45" s="2">
        <v>40</v>
      </c>
      <c r="L45" s="2">
        <v>0</v>
      </c>
      <c r="M45" s="2">
        <v>0</v>
      </c>
      <c r="N45" s="2">
        <v>0</v>
      </c>
      <c r="O45" s="4" t="s">
        <v>43</v>
      </c>
    </row>
    <row r="46" spans="1:15" ht="45" customHeight="1" x14ac:dyDescent="0.25">
      <c r="A46" s="15">
        <v>35</v>
      </c>
      <c r="B46" s="15" t="s">
        <v>83</v>
      </c>
      <c r="C46" s="16" t="s">
        <v>65</v>
      </c>
      <c r="D46" s="15" t="s">
        <v>35</v>
      </c>
      <c r="E46" s="55" t="s">
        <v>84</v>
      </c>
      <c r="F46" s="15">
        <v>2</v>
      </c>
      <c r="G46" s="15">
        <v>4</v>
      </c>
      <c r="H46" s="15">
        <v>1</v>
      </c>
      <c r="I46" s="15">
        <v>0</v>
      </c>
      <c r="J46" s="15">
        <v>38</v>
      </c>
      <c r="K46" s="15">
        <v>40</v>
      </c>
      <c r="L46" s="15">
        <v>0</v>
      </c>
      <c r="M46" s="15">
        <v>0</v>
      </c>
      <c r="N46" s="15">
        <v>0</v>
      </c>
      <c r="O46" s="17" t="s">
        <v>43</v>
      </c>
    </row>
    <row r="47" spans="1:15" ht="45" customHeight="1" x14ac:dyDescent="0.25">
      <c r="A47" s="15">
        <v>36</v>
      </c>
      <c r="B47" s="2" t="s">
        <v>83</v>
      </c>
      <c r="C47" s="3" t="s">
        <v>65</v>
      </c>
      <c r="D47" s="2" t="s">
        <v>29</v>
      </c>
      <c r="E47" s="50" t="s">
        <v>73</v>
      </c>
      <c r="F47" s="2">
        <v>2</v>
      </c>
      <c r="G47" s="2">
        <v>4</v>
      </c>
      <c r="H47" s="2">
        <v>1</v>
      </c>
      <c r="I47" s="2">
        <v>0</v>
      </c>
      <c r="J47" s="2">
        <v>38</v>
      </c>
      <c r="K47" s="2">
        <v>40</v>
      </c>
      <c r="L47" s="2">
        <v>0</v>
      </c>
      <c r="M47" s="2">
        <v>0</v>
      </c>
      <c r="N47" s="2">
        <v>0</v>
      </c>
      <c r="O47" s="4" t="s">
        <v>43</v>
      </c>
    </row>
    <row r="48" spans="1:15" ht="45" customHeight="1" x14ac:dyDescent="0.25">
      <c r="A48" s="15">
        <v>37</v>
      </c>
      <c r="B48" s="15" t="s">
        <v>83</v>
      </c>
      <c r="C48" s="16" t="s">
        <v>65</v>
      </c>
      <c r="D48" s="15" t="s">
        <v>35</v>
      </c>
      <c r="E48" s="55" t="s">
        <v>85</v>
      </c>
      <c r="F48" s="15">
        <v>2</v>
      </c>
      <c r="G48" s="15">
        <v>4</v>
      </c>
      <c r="H48" s="15">
        <v>1</v>
      </c>
      <c r="I48" s="15">
        <v>0</v>
      </c>
      <c r="J48" s="15">
        <v>38</v>
      </c>
      <c r="K48" s="15">
        <v>40</v>
      </c>
      <c r="L48" s="15">
        <v>0</v>
      </c>
      <c r="M48" s="15">
        <v>0</v>
      </c>
      <c r="N48" s="15">
        <v>0</v>
      </c>
      <c r="O48" s="17" t="s">
        <v>43</v>
      </c>
    </row>
    <row r="49" spans="1:15" ht="45" customHeight="1" x14ac:dyDescent="0.25">
      <c r="A49" s="15">
        <v>38</v>
      </c>
      <c r="B49" s="2" t="s">
        <v>86</v>
      </c>
      <c r="C49" s="3" t="s">
        <v>65</v>
      </c>
      <c r="D49" s="2" t="s">
        <v>35</v>
      </c>
      <c r="E49" s="50" t="s">
        <v>84</v>
      </c>
      <c r="F49" s="2">
        <v>2</v>
      </c>
      <c r="G49" s="2">
        <v>4</v>
      </c>
      <c r="H49" s="2">
        <v>1</v>
      </c>
      <c r="I49" s="2">
        <v>0</v>
      </c>
      <c r="J49" s="2">
        <v>38</v>
      </c>
      <c r="K49" s="2">
        <v>40</v>
      </c>
      <c r="L49" s="2">
        <v>0</v>
      </c>
      <c r="M49" s="2">
        <v>0</v>
      </c>
      <c r="N49" s="2">
        <v>0</v>
      </c>
      <c r="O49" s="4" t="s">
        <v>43</v>
      </c>
    </row>
    <row r="50" spans="1:15" ht="45" customHeight="1" x14ac:dyDescent="0.25">
      <c r="A50" s="15">
        <v>39</v>
      </c>
      <c r="B50" s="15" t="s">
        <v>86</v>
      </c>
      <c r="C50" s="16" t="s">
        <v>65</v>
      </c>
      <c r="D50" s="15" t="s">
        <v>41</v>
      </c>
      <c r="E50" s="55" t="s">
        <v>66</v>
      </c>
      <c r="F50" s="15">
        <v>2</v>
      </c>
      <c r="G50" s="15">
        <v>4</v>
      </c>
      <c r="H50" s="15">
        <v>1</v>
      </c>
      <c r="I50" s="15">
        <v>0</v>
      </c>
      <c r="J50" s="15">
        <v>38</v>
      </c>
      <c r="K50" s="15">
        <v>80</v>
      </c>
      <c r="L50" s="15">
        <v>0</v>
      </c>
      <c r="M50" s="15">
        <v>0</v>
      </c>
      <c r="N50" s="15">
        <v>0</v>
      </c>
      <c r="O50" s="17" t="s">
        <v>43</v>
      </c>
    </row>
    <row r="51" spans="1:15" ht="45" customHeight="1" x14ac:dyDescent="0.25">
      <c r="A51" s="15">
        <v>40</v>
      </c>
      <c r="B51" s="2" t="s">
        <v>86</v>
      </c>
      <c r="C51" s="3" t="s">
        <v>65</v>
      </c>
      <c r="D51" s="2" t="s">
        <v>35</v>
      </c>
      <c r="E51" s="50" t="s">
        <v>85</v>
      </c>
      <c r="F51" s="2">
        <v>2</v>
      </c>
      <c r="G51" s="2">
        <v>4</v>
      </c>
      <c r="H51" s="2">
        <v>1</v>
      </c>
      <c r="I51" s="2">
        <v>0</v>
      </c>
      <c r="J51" s="2">
        <v>38</v>
      </c>
      <c r="K51" s="2">
        <v>40</v>
      </c>
      <c r="L51" s="2">
        <v>0</v>
      </c>
      <c r="M51" s="2">
        <v>0</v>
      </c>
      <c r="N51" s="2">
        <v>0</v>
      </c>
      <c r="O51" s="4" t="s">
        <v>43</v>
      </c>
    </row>
    <row r="52" spans="1:15" ht="45" customHeight="1" x14ac:dyDescent="0.25">
      <c r="A52" s="15">
        <v>41</v>
      </c>
      <c r="B52" s="15" t="s">
        <v>87</v>
      </c>
      <c r="C52" s="16" t="s">
        <v>65</v>
      </c>
      <c r="D52" s="15" t="s">
        <v>45</v>
      </c>
      <c r="E52" s="55" t="s">
        <v>88</v>
      </c>
      <c r="F52" s="15">
        <v>2</v>
      </c>
      <c r="G52" s="15">
        <v>4</v>
      </c>
      <c r="H52" s="15">
        <v>1</v>
      </c>
      <c r="I52" s="15">
        <v>0</v>
      </c>
      <c r="J52" s="15">
        <v>38</v>
      </c>
      <c r="K52" s="15">
        <v>40</v>
      </c>
      <c r="L52" s="15">
        <v>0</v>
      </c>
      <c r="M52" s="15">
        <v>0</v>
      </c>
      <c r="N52" s="15">
        <v>0</v>
      </c>
      <c r="O52" s="17" t="s">
        <v>43</v>
      </c>
    </row>
    <row r="53" spans="1:15" ht="45" customHeight="1" x14ac:dyDescent="0.25">
      <c r="A53" s="15">
        <v>42</v>
      </c>
      <c r="B53" s="2" t="s">
        <v>87</v>
      </c>
      <c r="C53" s="3" t="s">
        <v>65</v>
      </c>
      <c r="D53" s="2" t="s">
        <v>35</v>
      </c>
      <c r="E53" s="50" t="s">
        <v>42</v>
      </c>
      <c r="F53" s="2">
        <v>2</v>
      </c>
      <c r="G53" s="2">
        <v>4</v>
      </c>
      <c r="H53" s="2">
        <v>1</v>
      </c>
      <c r="I53" s="2">
        <v>0</v>
      </c>
      <c r="J53" s="2">
        <v>38</v>
      </c>
      <c r="K53" s="2">
        <v>40</v>
      </c>
      <c r="L53" s="2">
        <v>0</v>
      </c>
      <c r="M53" s="2">
        <v>0</v>
      </c>
      <c r="N53" s="2">
        <v>0</v>
      </c>
      <c r="O53" s="4" t="s">
        <v>43</v>
      </c>
    </row>
    <row r="54" spans="1:15" ht="45" customHeight="1" x14ac:dyDescent="0.25">
      <c r="A54" s="15">
        <v>43</v>
      </c>
      <c r="B54" s="15" t="s">
        <v>89</v>
      </c>
      <c r="C54" s="16" t="s">
        <v>65</v>
      </c>
      <c r="D54" s="15" t="s">
        <v>45</v>
      </c>
      <c r="E54" s="55" t="s">
        <v>46</v>
      </c>
      <c r="F54" s="15">
        <v>2</v>
      </c>
      <c r="G54" s="15">
        <v>4</v>
      </c>
      <c r="H54" s="15">
        <v>1</v>
      </c>
      <c r="I54" s="15">
        <v>0</v>
      </c>
      <c r="J54" s="15">
        <v>38</v>
      </c>
      <c r="K54" s="15">
        <v>40</v>
      </c>
      <c r="L54" s="15">
        <v>0</v>
      </c>
      <c r="M54" s="15">
        <v>0</v>
      </c>
      <c r="N54" s="15">
        <v>0</v>
      </c>
      <c r="O54" s="17" t="s">
        <v>43</v>
      </c>
    </row>
    <row r="55" spans="1:15" ht="45" customHeight="1" x14ac:dyDescent="0.25">
      <c r="A55" s="15">
        <v>44</v>
      </c>
      <c r="B55" s="2" t="s">
        <v>89</v>
      </c>
      <c r="C55" s="3" t="s">
        <v>65</v>
      </c>
      <c r="D55" s="2" t="s">
        <v>35</v>
      </c>
      <c r="E55" s="50" t="s">
        <v>75</v>
      </c>
      <c r="F55" s="2">
        <v>2</v>
      </c>
      <c r="G55" s="2">
        <v>4</v>
      </c>
      <c r="H55" s="2">
        <v>1</v>
      </c>
      <c r="I55" s="2">
        <v>0</v>
      </c>
      <c r="J55" s="2">
        <v>38</v>
      </c>
      <c r="K55" s="2">
        <v>40</v>
      </c>
      <c r="L55" s="2">
        <v>0</v>
      </c>
      <c r="M55" s="2">
        <v>0</v>
      </c>
      <c r="N55" s="2">
        <v>0</v>
      </c>
      <c r="O55" s="4" t="s">
        <v>43</v>
      </c>
    </row>
    <row r="56" spans="1:15" ht="45" customHeight="1" x14ac:dyDescent="0.25">
      <c r="A56" s="15">
        <v>45</v>
      </c>
      <c r="B56" s="15" t="s">
        <v>89</v>
      </c>
      <c r="C56" s="16" t="s">
        <v>65</v>
      </c>
      <c r="D56" s="15" t="s">
        <v>41</v>
      </c>
      <c r="E56" s="55" t="s">
        <v>90</v>
      </c>
      <c r="F56" s="15">
        <v>2</v>
      </c>
      <c r="G56" s="15">
        <v>4</v>
      </c>
      <c r="H56" s="15">
        <v>1</v>
      </c>
      <c r="I56" s="15">
        <v>0</v>
      </c>
      <c r="J56" s="15">
        <v>38</v>
      </c>
      <c r="K56" s="15">
        <v>80</v>
      </c>
      <c r="L56" s="15">
        <v>0</v>
      </c>
      <c r="M56" s="15">
        <v>0</v>
      </c>
      <c r="N56" s="15">
        <v>0</v>
      </c>
      <c r="O56" s="17" t="s">
        <v>43</v>
      </c>
    </row>
    <row r="57" spans="1:15" ht="45" customHeight="1" x14ac:dyDescent="0.25">
      <c r="A57" s="15">
        <v>46</v>
      </c>
      <c r="B57" s="2" t="s">
        <v>91</v>
      </c>
      <c r="C57" s="3" t="s">
        <v>65</v>
      </c>
      <c r="D57" s="2" t="s">
        <v>35</v>
      </c>
      <c r="E57" s="50" t="s">
        <v>88</v>
      </c>
      <c r="F57" s="2">
        <v>2</v>
      </c>
      <c r="G57" s="2">
        <v>4</v>
      </c>
      <c r="H57" s="2">
        <v>1</v>
      </c>
      <c r="I57" s="2">
        <v>0</v>
      </c>
      <c r="J57" s="2">
        <v>38</v>
      </c>
      <c r="K57" s="2">
        <v>40</v>
      </c>
      <c r="L57" s="2">
        <v>0</v>
      </c>
      <c r="M57" s="2">
        <v>0</v>
      </c>
      <c r="N57" s="2">
        <v>0</v>
      </c>
      <c r="O57" s="4" t="s">
        <v>43</v>
      </c>
    </row>
    <row r="58" spans="1:15" ht="45" customHeight="1" x14ac:dyDescent="0.25">
      <c r="A58" s="15">
        <v>47</v>
      </c>
      <c r="B58" s="15" t="s">
        <v>91</v>
      </c>
      <c r="C58" s="16" t="s">
        <v>65</v>
      </c>
      <c r="D58" s="15" t="s">
        <v>45</v>
      </c>
      <c r="E58" s="55" t="s">
        <v>77</v>
      </c>
      <c r="F58" s="15">
        <v>2</v>
      </c>
      <c r="G58" s="15">
        <v>4</v>
      </c>
      <c r="H58" s="15">
        <v>1</v>
      </c>
      <c r="I58" s="15">
        <v>0</v>
      </c>
      <c r="J58" s="15">
        <v>38</v>
      </c>
      <c r="K58" s="15">
        <v>40</v>
      </c>
      <c r="L58" s="15">
        <v>0</v>
      </c>
      <c r="M58" s="15">
        <v>0</v>
      </c>
      <c r="N58" s="15">
        <v>0</v>
      </c>
      <c r="O58" s="17" t="s">
        <v>43</v>
      </c>
    </row>
    <row r="59" spans="1:15" ht="45" customHeight="1" x14ac:dyDescent="0.25">
      <c r="A59" s="15">
        <v>48</v>
      </c>
      <c r="B59" s="2" t="s">
        <v>92</v>
      </c>
      <c r="C59" s="3" t="s">
        <v>65</v>
      </c>
      <c r="D59" s="2" t="s">
        <v>35</v>
      </c>
      <c r="E59" s="50" t="s">
        <v>88</v>
      </c>
      <c r="F59" s="2">
        <v>2</v>
      </c>
      <c r="G59" s="2">
        <v>4</v>
      </c>
      <c r="H59" s="2">
        <v>1</v>
      </c>
      <c r="I59" s="2">
        <v>0</v>
      </c>
      <c r="J59" s="2">
        <v>38</v>
      </c>
      <c r="K59" s="2">
        <v>40</v>
      </c>
      <c r="L59" s="2">
        <v>0</v>
      </c>
      <c r="M59" s="2">
        <v>0</v>
      </c>
      <c r="N59" s="2">
        <v>0</v>
      </c>
      <c r="O59" s="4" t="s">
        <v>43</v>
      </c>
    </row>
    <row r="60" spans="1:15" ht="45" customHeight="1" x14ac:dyDescent="0.25">
      <c r="A60" s="15">
        <v>49</v>
      </c>
      <c r="B60" s="15" t="s">
        <v>92</v>
      </c>
      <c r="C60" s="16" t="s">
        <v>65</v>
      </c>
      <c r="D60" s="15" t="s">
        <v>45</v>
      </c>
      <c r="E60" s="55" t="s">
        <v>77</v>
      </c>
      <c r="F60" s="15">
        <v>2</v>
      </c>
      <c r="G60" s="15">
        <v>4</v>
      </c>
      <c r="H60" s="15">
        <v>1</v>
      </c>
      <c r="I60" s="15">
        <v>0</v>
      </c>
      <c r="J60" s="15">
        <v>38</v>
      </c>
      <c r="K60" s="15">
        <v>40</v>
      </c>
      <c r="L60" s="15">
        <v>0</v>
      </c>
      <c r="M60" s="15">
        <v>0</v>
      </c>
      <c r="N60" s="15">
        <v>0</v>
      </c>
      <c r="O60" s="17" t="s">
        <v>43</v>
      </c>
    </row>
    <row r="61" spans="1:15" ht="15.95" customHeight="1" x14ac:dyDescent="0.25">
      <c r="A61" s="69" t="s">
        <v>93</v>
      </c>
      <c r="B61" s="68"/>
      <c r="C61" s="68"/>
      <c r="D61" s="68"/>
      <c r="E61" s="68"/>
      <c r="F61" s="8">
        <f t="shared" ref="F61:O61" si="3">SUM(F32:F60)</f>
        <v>58</v>
      </c>
      <c r="G61" s="8">
        <f t="shared" si="3"/>
        <v>116</v>
      </c>
      <c r="H61" s="8">
        <f t="shared" si="3"/>
        <v>29</v>
      </c>
      <c r="I61" s="8">
        <f t="shared" si="3"/>
        <v>0</v>
      </c>
      <c r="J61" s="8">
        <f t="shared" si="3"/>
        <v>1102</v>
      </c>
      <c r="K61" s="8">
        <f t="shared" si="3"/>
        <v>1440</v>
      </c>
      <c r="L61" s="8">
        <f t="shared" si="3"/>
        <v>0</v>
      </c>
      <c r="M61" s="8">
        <f t="shared" si="3"/>
        <v>0</v>
      </c>
      <c r="N61" s="8">
        <f t="shared" si="3"/>
        <v>0</v>
      </c>
      <c r="O61" s="8">
        <f t="shared" si="3"/>
        <v>0</v>
      </c>
    </row>
    <row r="62" spans="1:15" ht="20.100000000000001" customHeight="1" x14ac:dyDescent="0.25">
      <c r="A62" s="77" t="s">
        <v>390</v>
      </c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</row>
    <row r="63" spans="1:15" ht="45" customHeight="1" x14ac:dyDescent="0.25">
      <c r="A63" s="2">
        <v>50</v>
      </c>
      <c r="B63" s="2" t="s">
        <v>94</v>
      </c>
      <c r="C63" s="3" t="s">
        <v>95</v>
      </c>
      <c r="D63" s="2" t="s">
        <v>45</v>
      </c>
      <c r="E63" s="50" t="s">
        <v>69</v>
      </c>
      <c r="F63" s="2">
        <v>2</v>
      </c>
      <c r="G63" s="2">
        <v>3</v>
      </c>
      <c r="H63" s="2">
        <v>1</v>
      </c>
      <c r="I63" s="2">
        <v>1</v>
      </c>
      <c r="J63" s="2">
        <v>28</v>
      </c>
      <c r="K63" s="2">
        <v>0</v>
      </c>
      <c r="L63" s="2">
        <v>0</v>
      </c>
      <c r="M63" s="2">
        <v>0</v>
      </c>
      <c r="N63" s="2">
        <v>0</v>
      </c>
      <c r="O63" s="4" t="s">
        <v>96</v>
      </c>
    </row>
    <row r="64" spans="1:15" ht="45" customHeight="1" x14ac:dyDescent="0.25">
      <c r="A64" s="2">
        <v>51</v>
      </c>
      <c r="B64" s="18" t="s">
        <v>97</v>
      </c>
      <c r="C64" s="19" t="s">
        <v>95</v>
      </c>
      <c r="D64" s="18" t="s">
        <v>45</v>
      </c>
      <c r="E64" s="56" t="s">
        <v>98</v>
      </c>
      <c r="F64" s="18">
        <v>2</v>
      </c>
      <c r="G64" s="18">
        <v>3</v>
      </c>
      <c r="H64" s="18">
        <v>1</v>
      </c>
      <c r="I64" s="18">
        <v>1</v>
      </c>
      <c r="J64" s="18">
        <v>28</v>
      </c>
      <c r="K64" s="18">
        <v>0</v>
      </c>
      <c r="L64" s="18">
        <v>0</v>
      </c>
      <c r="M64" s="18">
        <v>0</v>
      </c>
      <c r="N64" s="18">
        <v>0</v>
      </c>
      <c r="O64" s="20" t="s">
        <v>96</v>
      </c>
    </row>
    <row r="65" spans="1:15" s="66" customFormat="1" ht="45" customHeight="1" x14ac:dyDescent="0.25">
      <c r="A65" s="2">
        <v>52</v>
      </c>
      <c r="B65" s="2">
        <v>122</v>
      </c>
      <c r="C65" s="3" t="s">
        <v>95</v>
      </c>
      <c r="D65" s="2" t="s">
        <v>29</v>
      </c>
      <c r="E65" s="50">
        <v>46201</v>
      </c>
      <c r="F65" s="2">
        <v>2</v>
      </c>
      <c r="G65" s="2">
        <v>3</v>
      </c>
      <c r="H65" s="2">
        <v>1</v>
      </c>
      <c r="I65" s="2">
        <v>1</v>
      </c>
      <c r="J65" s="2">
        <v>28</v>
      </c>
      <c r="K65" s="2">
        <v>0</v>
      </c>
      <c r="L65" s="2">
        <v>0</v>
      </c>
      <c r="M65" s="2">
        <v>0</v>
      </c>
      <c r="N65" s="2">
        <v>2</v>
      </c>
      <c r="O65" s="4" t="s">
        <v>96</v>
      </c>
    </row>
    <row r="66" spans="1:15" ht="45" customHeight="1" x14ac:dyDescent="0.25">
      <c r="A66" s="2">
        <v>53</v>
      </c>
      <c r="B66" s="2" t="s">
        <v>99</v>
      </c>
      <c r="C66" s="3" t="s">
        <v>95</v>
      </c>
      <c r="D66" s="2" t="s">
        <v>29</v>
      </c>
      <c r="E66" s="50" t="s">
        <v>48</v>
      </c>
      <c r="F66" s="2">
        <v>2</v>
      </c>
      <c r="G66" s="2">
        <v>3</v>
      </c>
      <c r="H66" s="2">
        <v>1</v>
      </c>
      <c r="I66" s="2">
        <v>1</v>
      </c>
      <c r="J66" s="2">
        <v>28</v>
      </c>
      <c r="K66" s="2">
        <v>0</v>
      </c>
      <c r="L66" s="2">
        <v>0</v>
      </c>
      <c r="M66" s="2">
        <v>0</v>
      </c>
      <c r="N66" s="2">
        <v>2</v>
      </c>
      <c r="O66" s="4" t="s">
        <v>96</v>
      </c>
    </row>
    <row r="67" spans="1:15" ht="45" customHeight="1" x14ac:dyDescent="0.25">
      <c r="A67" s="2">
        <v>54</v>
      </c>
      <c r="B67" s="18" t="s">
        <v>100</v>
      </c>
      <c r="C67" s="19" t="s">
        <v>95</v>
      </c>
      <c r="D67" s="18" t="s">
        <v>35</v>
      </c>
      <c r="E67" s="56" t="s">
        <v>101</v>
      </c>
      <c r="F67" s="18">
        <v>2</v>
      </c>
      <c r="G67" s="18">
        <v>3</v>
      </c>
      <c r="H67" s="18">
        <v>0</v>
      </c>
      <c r="I67" s="18">
        <v>0</v>
      </c>
      <c r="J67" s="18">
        <v>28</v>
      </c>
      <c r="K67" s="18">
        <v>0</v>
      </c>
      <c r="L67" s="18">
        <v>0</v>
      </c>
      <c r="M67" s="18">
        <v>0</v>
      </c>
      <c r="N67" s="18">
        <v>0</v>
      </c>
      <c r="O67" s="20" t="s">
        <v>96</v>
      </c>
    </row>
    <row r="68" spans="1:15" ht="45" customHeight="1" x14ac:dyDescent="0.25">
      <c r="A68" s="2">
        <v>55</v>
      </c>
      <c r="B68" s="2" t="s">
        <v>100</v>
      </c>
      <c r="C68" s="3" t="s">
        <v>95</v>
      </c>
      <c r="D68" s="2" t="s">
        <v>29</v>
      </c>
      <c r="E68" s="50" t="s">
        <v>102</v>
      </c>
      <c r="F68" s="2">
        <v>2</v>
      </c>
      <c r="G68" s="2">
        <v>3</v>
      </c>
      <c r="H68" s="2">
        <v>1</v>
      </c>
      <c r="I68" s="2">
        <v>1</v>
      </c>
      <c r="J68" s="2">
        <v>28</v>
      </c>
      <c r="K68" s="2">
        <v>0</v>
      </c>
      <c r="L68" s="2">
        <v>0</v>
      </c>
      <c r="M68" s="2">
        <v>0</v>
      </c>
      <c r="N68" s="2">
        <v>2</v>
      </c>
      <c r="O68" s="4" t="s">
        <v>96</v>
      </c>
    </row>
    <row r="69" spans="1:15" ht="45" customHeight="1" x14ac:dyDescent="0.25">
      <c r="A69" s="2">
        <v>56</v>
      </c>
      <c r="B69" s="18" t="s">
        <v>100</v>
      </c>
      <c r="C69" s="19" t="s">
        <v>95</v>
      </c>
      <c r="D69" s="18" t="s">
        <v>35</v>
      </c>
      <c r="E69" s="56" t="s">
        <v>103</v>
      </c>
      <c r="F69" s="18">
        <v>2</v>
      </c>
      <c r="G69" s="18">
        <v>3</v>
      </c>
      <c r="H69" s="18">
        <v>0</v>
      </c>
      <c r="I69" s="18">
        <v>0</v>
      </c>
      <c r="J69" s="18">
        <v>28</v>
      </c>
      <c r="K69" s="18">
        <v>0</v>
      </c>
      <c r="L69" s="18">
        <v>0</v>
      </c>
      <c r="M69" s="18">
        <v>0</v>
      </c>
      <c r="N69" s="18">
        <v>0</v>
      </c>
      <c r="O69" s="20" t="s">
        <v>96</v>
      </c>
    </row>
    <row r="70" spans="1:15" ht="45" customHeight="1" x14ac:dyDescent="0.25">
      <c r="A70" s="2">
        <v>57</v>
      </c>
      <c r="B70" s="2" t="s">
        <v>104</v>
      </c>
      <c r="C70" s="3" t="s">
        <v>95</v>
      </c>
      <c r="D70" s="2" t="s">
        <v>45</v>
      </c>
      <c r="E70" s="50" t="s">
        <v>105</v>
      </c>
      <c r="F70" s="2">
        <v>2</v>
      </c>
      <c r="G70" s="2">
        <v>3</v>
      </c>
      <c r="H70" s="2">
        <v>1</v>
      </c>
      <c r="I70" s="2">
        <v>1</v>
      </c>
      <c r="J70" s="2">
        <v>28</v>
      </c>
      <c r="K70" s="2">
        <v>0</v>
      </c>
      <c r="L70" s="2">
        <v>0</v>
      </c>
      <c r="M70" s="2">
        <v>0</v>
      </c>
      <c r="N70" s="2">
        <v>0</v>
      </c>
      <c r="O70" s="4" t="s">
        <v>96</v>
      </c>
    </row>
    <row r="71" spans="1:15" ht="45" customHeight="1" x14ac:dyDescent="0.25">
      <c r="A71" s="2">
        <v>58</v>
      </c>
      <c r="B71" s="18" t="s">
        <v>106</v>
      </c>
      <c r="C71" s="19" t="s">
        <v>95</v>
      </c>
      <c r="D71" s="18" t="s">
        <v>41</v>
      </c>
      <c r="E71" s="56" t="s">
        <v>48</v>
      </c>
      <c r="F71" s="18">
        <v>2</v>
      </c>
      <c r="G71" s="18">
        <v>3</v>
      </c>
      <c r="H71" s="18">
        <v>1</v>
      </c>
      <c r="I71" s="18">
        <v>3</v>
      </c>
      <c r="J71" s="18">
        <v>28</v>
      </c>
      <c r="K71" s="18">
        <v>282</v>
      </c>
      <c r="L71" s="18">
        <v>0</v>
      </c>
      <c r="M71" s="18">
        <v>55</v>
      </c>
      <c r="N71" s="18">
        <v>3</v>
      </c>
      <c r="O71" s="20" t="s">
        <v>96</v>
      </c>
    </row>
    <row r="72" spans="1:15" ht="45" customHeight="1" x14ac:dyDescent="0.25">
      <c r="A72" s="2">
        <v>59</v>
      </c>
      <c r="B72" s="2" t="s">
        <v>106</v>
      </c>
      <c r="C72" s="3" t="s">
        <v>95</v>
      </c>
      <c r="D72" s="2" t="s">
        <v>35</v>
      </c>
      <c r="E72" s="50" t="s">
        <v>49</v>
      </c>
      <c r="F72" s="2">
        <v>2</v>
      </c>
      <c r="G72" s="2">
        <v>3</v>
      </c>
      <c r="H72" s="2">
        <v>0</v>
      </c>
      <c r="I72" s="2">
        <v>0</v>
      </c>
      <c r="J72" s="2">
        <v>28</v>
      </c>
      <c r="K72" s="2">
        <v>0</v>
      </c>
      <c r="L72" s="2">
        <v>0</v>
      </c>
      <c r="M72" s="2">
        <v>0</v>
      </c>
      <c r="N72" s="2">
        <v>0</v>
      </c>
      <c r="O72" s="4" t="s">
        <v>96</v>
      </c>
    </row>
    <row r="73" spans="1:15" s="44" customFormat="1" ht="45" customHeight="1" x14ac:dyDescent="0.25">
      <c r="A73" s="2">
        <v>60</v>
      </c>
      <c r="B73" s="42">
        <v>137</v>
      </c>
      <c r="C73" s="45" t="s">
        <v>95</v>
      </c>
      <c r="D73" s="42" t="s">
        <v>45</v>
      </c>
      <c r="E73" s="50">
        <v>46198</v>
      </c>
      <c r="F73" s="42">
        <v>2</v>
      </c>
      <c r="G73" s="42">
        <v>3</v>
      </c>
      <c r="H73" s="42">
        <v>1</v>
      </c>
      <c r="I73" s="42">
        <v>1</v>
      </c>
      <c r="J73" s="42">
        <v>28</v>
      </c>
      <c r="K73" s="42">
        <v>0</v>
      </c>
      <c r="L73" s="42">
        <v>0</v>
      </c>
      <c r="M73" s="42">
        <v>0</v>
      </c>
      <c r="N73" s="42">
        <v>0</v>
      </c>
      <c r="O73" s="46" t="s">
        <v>386</v>
      </c>
    </row>
    <row r="74" spans="1:15" s="49" customFormat="1" ht="45" customHeight="1" x14ac:dyDescent="0.25">
      <c r="A74" s="2">
        <v>61</v>
      </c>
      <c r="B74" s="43">
        <v>138</v>
      </c>
      <c r="C74" s="47" t="s">
        <v>95</v>
      </c>
      <c r="D74" s="43" t="s">
        <v>41</v>
      </c>
      <c r="E74" s="51">
        <v>46187</v>
      </c>
      <c r="F74" s="43">
        <v>2</v>
      </c>
      <c r="G74" s="43">
        <v>3</v>
      </c>
      <c r="H74" s="43">
        <v>1</v>
      </c>
      <c r="I74" s="43">
        <v>3</v>
      </c>
      <c r="J74" s="43">
        <v>28</v>
      </c>
      <c r="K74" s="43">
        <v>282</v>
      </c>
      <c r="L74" s="43">
        <v>0</v>
      </c>
      <c r="M74" s="43">
        <v>55</v>
      </c>
      <c r="N74" s="43">
        <v>3</v>
      </c>
      <c r="O74" s="48" t="s">
        <v>96</v>
      </c>
    </row>
    <row r="75" spans="1:15" ht="15.95" customHeight="1" x14ac:dyDescent="0.25">
      <c r="A75" s="69" t="s">
        <v>107</v>
      </c>
      <c r="B75" s="68"/>
      <c r="C75" s="68"/>
      <c r="D75" s="68"/>
      <c r="E75" s="68"/>
      <c r="F75" s="8">
        <f t="shared" ref="F75:N75" si="4">SUM(F63:F74)</f>
        <v>24</v>
      </c>
      <c r="G75" s="8">
        <f t="shared" si="4"/>
        <v>36</v>
      </c>
      <c r="H75" s="8">
        <f t="shared" si="4"/>
        <v>9</v>
      </c>
      <c r="I75" s="8">
        <f t="shared" si="4"/>
        <v>13</v>
      </c>
      <c r="J75" s="8">
        <f t="shared" si="4"/>
        <v>336</v>
      </c>
      <c r="K75" s="8">
        <f t="shared" si="4"/>
        <v>564</v>
      </c>
      <c r="L75" s="8">
        <f t="shared" si="4"/>
        <v>0</v>
      </c>
      <c r="M75" s="8">
        <f t="shared" si="4"/>
        <v>110</v>
      </c>
      <c r="N75" s="8">
        <f t="shared" si="4"/>
        <v>12</v>
      </c>
      <c r="O75" s="8">
        <f t="shared" ref="O75" si="5">SUM(O63:O72)</f>
        <v>0</v>
      </c>
    </row>
    <row r="76" spans="1:15" ht="20.100000000000001" customHeight="1" x14ac:dyDescent="0.25">
      <c r="A76" s="85" t="s">
        <v>108</v>
      </c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</row>
    <row r="77" spans="1:15" ht="45" customHeight="1" x14ac:dyDescent="0.25">
      <c r="A77" s="21">
        <v>62</v>
      </c>
      <c r="B77" s="21" t="s">
        <v>109</v>
      </c>
      <c r="C77" s="22" t="s">
        <v>110</v>
      </c>
      <c r="D77" s="21" t="s">
        <v>41</v>
      </c>
      <c r="E77" s="57" t="s">
        <v>77</v>
      </c>
      <c r="F77" s="21">
        <v>1</v>
      </c>
      <c r="G77" s="21">
        <v>3</v>
      </c>
      <c r="H77" s="21">
        <v>2</v>
      </c>
      <c r="I77" s="21">
        <v>2</v>
      </c>
      <c r="J77" s="21">
        <v>40</v>
      </c>
      <c r="K77" s="21">
        <v>280</v>
      </c>
      <c r="L77" s="21">
        <v>0</v>
      </c>
      <c r="M77" s="21">
        <v>0</v>
      </c>
      <c r="N77" s="21">
        <v>0</v>
      </c>
      <c r="O77" s="23" t="s">
        <v>111</v>
      </c>
    </row>
    <row r="78" spans="1:15" ht="45" customHeight="1" x14ac:dyDescent="0.25">
      <c r="A78" s="21">
        <v>63</v>
      </c>
      <c r="B78" s="2" t="s">
        <v>112</v>
      </c>
      <c r="C78" s="3" t="s">
        <v>110</v>
      </c>
      <c r="D78" s="2" t="s">
        <v>45</v>
      </c>
      <c r="E78" s="50" t="s">
        <v>36</v>
      </c>
      <c r="F78" s="2">
        <v>1</v>
      </c>
      <c r="G78" s="2">
        <v>3</v>
      </c>
      <c r="H78" s="2">
        <v>2</v>
      </c>
      <c r="I78" s="2">
        <v>0</v>
      </c>
      <c r="J78" s="2">
        <v>40</v>
      </c>
      <c r="K78" s="2">
        <v>0</v>
      </c>
      <c r="L78" s="2">
        <v>0</v>
      </c>
      <c r="M78" s="2">
        <v>0</v>
      </c>
      <c r="N78" s="2">
        <v>0</v>
      </c>
      <c r="O78" s="4" t="s">
        <v>111</v>
      </c>
    </row>
    <row r="79" spans="1:15" ht="45" customHeight="1" x14ac:dyDescent="0.25">
      <c r="A79" s="21">
        <v>64</v>
      </c>
      <c r="B79" s="21" t="s">
        <v>113</v>
      </c>
      <c r="C79" s="22" t="s">
        <v>110</v>
      </c>
      <c r="D79" s="21" t="s">
        <v>41</v>
      </c>
      <c r="E79" s="57" t="s">
        <v>55</v>
      </c>
      <c r="F79" s="21">
        <v>1</v>
      </c>
      <c r="G79" s="21">
        <v>3</v>
      </c>
      <c r="H79" s="21">
        <v>2</v>
      </c>
      <c r="I79" s="21">
        <v>2</v>
      </c>
      <c r="J79" s="21">
        <v>40</v>
      </c>
      <c r="K79" s="21">
        <v>280</v>
      </c>
      <c r="L79" s="21">
        <v>0</v>
      </c>
      <c r="M79" s="21">
        <v>0</v>
      </c>
      <c r="N79" s="21">
        <v>0</v>
      </c>
      <c r="O79" s="23" t="s">
        <v>111</v>
      </c>
    </row>
    <row r="80" spans="1:15" ht="15.95" customHeight="1" x14ac:dyDescent="0.25">
      <c r="A80" s="69" t="s">
        <v>114</v>
      </c>
      <c r="B80" s="68"/>
      <c r="C80" s="68"/>
      <c r="D80" s="68"/>
      <c r="E80" s="68"/>
      <c r="F80" s="8">
        <f t="shared" ref="F80:O80" si="6">SUM(F77:F79)</f>
        <v>3</v>
      </c>
      <c r="G80" s="8">
        <f t="shared" si="6"/>
        <v>9</v>
      </c>
      <c r="H80" s="8">
        <f t="shared" si="6"/>
        <v>6</v>
      </c>
      <c r="I80" s="8">
        <f t="shared" si="6"/>
        <v>4</v>
      </c>
      <c r="J80" s="8">
        <f t="shared" si="6"/>
        <v>120</v>
      </c>
      <c r="K80" s="8">
        <f t="shared" si="6"/>
        <v>560</v>
      </c>
      <c r="L80" s="8">
        <f t="shared" si="6"/>
        <v>0</v>
      </c>
      <c r="M80" s="8">
        <f t="shared" si="6"/>
        <v>0</v>
      </c>
      <c r="N80" s="8">
        <f t="shared" si="6"/>
        <v>0</v>
      </c>
      <c r="O80" s="8">
        <f t="shared" si="6"/>
        <v>0</v>
      </c>
    </row>
    <row r="81" spans="1:15" ht="20.100000000000001" customHeight="1" x14ac:dyDescent="0.25">
      <c r="A81" s="72" t="s">
        <v>115</v>
      </c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</row>
    <row r="82" spans="1:15" ht="45" customHeight="1" x14ac:dyDescent="0.25">
      <c r="A82" s="2">
        <v>65</v>
      </c>
      <c r="B82" s="2" t="s">
        <v>116</v>
      </c>
      <c r="C82" s="3" t="s">
        <v>117</v>
      </c>
      <c r="D82" s="2" t="s">
        <v>41</v>
      </c>
      <c r="E82" s="50" t="s">
        <v>33</v>
      </c>
      <c r="F82" s="2">
        <v>1</v>
      </c>
      <c r="G82" s="2">
        <v>2</v>
      </c>
      <c r="H82" s="2">
        <v>0</v>
      </c>
      <c r="I82" s="2">
        <v>0</v>
      </c>
      <c r="J82" s="2">
        <v>40</v>
      </c>
      <c r="K82" s="2">
        <v>0</v>
      </c>
      <c r="L82" s="2">
        <v>0</v>
      </c>
      <c r="M82" s="2">
        <v>0</v>
      </c>
      <c r="N82" s="2">
        <v>0</v>
      </c>
      <c r="O82" s="4" t="s">
        <v>118</v>
      </c>
    </row>
    <row r="83" spans="1:15" ht="15.95" customHeight="1" x14ac:dyDescent="0.25">
      <c r="A83" s="69" t="s">
        <v>119</v>
      </c>
      <c r="B83" s="68"/>
      <c r="C83" s="68"/>
      <c r="D83" s="68"/>
      <c r="E83" s="68"/>
      <c r="F83" s="8">
        <f t="shared" ref="F83:O83" si="7">SUM(F82:F82)</f>
        <v>1</v>
      </c>
      <c r="G83" s="8">
        <f t="shared" si="7"/>
        <v>2</v>
      </c>
      <c r="H83" s="8">
        <f t="shared" si="7"/>
        <v>0</v>
      </c>
      <c r="I83" s="8">
        <f t="shared" si="7"/>
        <v>0</v>
      </c>
      <c r="J83" s="8">
        <f t="shared" si="7"/>
        <v>40</v>
      </c>
      <c r="K83" s="8">
        <f t="shared" si="7"/>
        <v>0</v>
      </c>
      <c r="L83" s="8">
        <f t="shared" si="7"/>
        <v>0</v>
      </c>
      <c r="M83" s="8">
        <f t="shared" si="7"/>
        <v>0</v>
      </c>
      <c r="N83" s="8">
        <f t="shared" si="7"/>
        <v>0</v>
      </c>
      <c r="O83" s="8">
        <f t="shared" si="7"/>
        <v>0</v>
      </c>
    </row>
    <row r="84" spans="1:15" ht="20.100000000000001" customHeight="1" x14ac:dyDescent="0.25">
      <c r="A84" s="89" t="s">
        <v>120</v>
      </c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</row>
    <row r="85" spans="1:15" ht="45" customHeight="1" x14ac:dyDescent="0.25">
      <c r="A85" s="24">
        <v>66</v>
      </c>
      <c r="B85" s="24" t="s">
        <v>121</v>
      </c>
      <c r="C85" s="25" t="s">
        <v>122</v>
      </c>
      <c r="D85" s="24" t="s">
        <v>45</v>
      </c>
      <c r="E85" s="58" t="s">
        <v>21</v>
      </c>
      <c r="F85" s="24">
        <v>1</v>
      </c>
      <c r="G85" s="24">
        <v>2</v>
      </c>
      <c r="H85" s="24">
        <v>1</v>
      </c>
      <c r="I85" s="24">
        <v>0</v>
      </c>
      <c r="J85" s="24">
        <v>40</v>
      </c>
      <c r="K85" s="24">
        <v>0</v>
      </c>
      <c r="L85" s="24">
        <v>0</v>
      </c>
      <c r="M85" s="24">
        <v>0</v>
      </c>
      <c r="N85" s="24">
        <v>0</v>
      </c>
      <c r="O85" s="26" t="s">
        <v>123</v>
      </c>
    </row>
    <row r="86" spans="1:15" ht="45" customHeight="1" x14ac:dyDescent="0.25">
      <c r="A86" s="2">
        <v>67</v>
      </c>
      <c r="B86" s="2" t="s">
        <v>121</v>
      </c>
      <c r="C86" s="3" t="s">
        <v>122</v>
      </c>
      <c r="D86" s="2" t="s">
        <v>35</v>
      </c>
      <c r="E86" s="50" t="s">
        <v>36</v>
      </c>
      <c r="F86" s="2">
        <v>1</v>
      </c>
      <c r="G86" s="2">
        <v>2</v>
      </c>
      <c r="H86" s="2">
        <v>0</v>
      </c>
      <c r="I86" s="2">
        <v>0</v>
      </c>
      <c r="J86" s="2">
        <v>40</v>
      </c>
      <c r="K86" s="2">
        <v>0</v>
      </c>
      <c r="L86" s="2">
        <v>0</v>
      </c>
      <c r="M86" s="2">
        <v>0</v>
      </c>
      <c r="N86" s="2">
        <v>0</v>
      </c>
      <c r="O86" s="4" t="s">
        <v>123</v>
      </c>
    </row>
    <row r="87" spans="1:15" ht="15.95" customHeight="1" x14ac:dyDescent="0.25">
      <c r="A87" s="69" t="s">
        <v>124</v>
      </c>
      <c r="B87" s="68"/>
      <c r="C87" s="68"/>
      <c r="D87" s="68"/>
      <c r="E87" s="68"/>
      <c r="F87" s="8">
        <f t="shared" ref="F87:O87" si="8">SUM(F85:F86)</f>
        <v>2</v>
      </c>
      <c r="G87" s="8">
        <f t="shared" si="8"/>
        <v>4</v>
      </c>
      <c r="H87" s="8">
        <f t="shared" si="8"/>
        <v>1</v>
      </c>
      <c r="I87" s="8">
        <f t="shared" si="8"/>
        <v>0</v>
      </c>
      <c r="J87" s="8">
        <f t="shared" si="8"/>
        <v>80</v>
      </c>
      <c r="K87" s="8">
        <f t="shared" si="8"/>
        <v>0</v>
      </c>
      <c r="L87" s="8">
        <f t="shared" si="8"/>
        <v>0</v>
      </c>
      <c r="M87" s="8">
        <f t="shared" si="8"/>
        <v>0</v>
      </c>
      <c r="N87" s="8">
        <f t="shared" si="8"/>
        <v>0</v>
      </c>
      <c r="O87" s="8">
        <f t="shared" si="8"/>
        <v>0</v>
      </c>
    </row>
    <row r="88" spans="1:15" ht="20.100000000000001" customHeight="1" x14ac:dyDescent="0.25">
      <c r="A88" s="75" t="s">
        <v>125</v>
      </c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</row>
    <row r="89" spans="1:15" ht="45" customHeight="1" x14ac:dyDescent="0.25">
      <c r="A89" s="27">
        <v>68</v>
      </c>
      <c r="B89" s="27" t="s">
        <v>126</v>
      </c>
      <c r="C89" s="28" t="s">
        <v>127</v>
      </c>
      <c r="D89" s="27" t="s">
        <v>41</v>
      </c>
      <c r="E89" s="59" t="s">
        <v>33</v>
      </c>
      <c r="F89" s="27">
        <v>1</v>
      </c>
      <c r="G89" s="27">
        <v>4</v>
      </c>
      <c r="H89" s="27">
        <v>2</v>
      </c>
      <c r="I89" s="27">
        <v>2</v>
      </c>
      <c r="J89" s="27">
        <v>0</v>
      </c>
      <c r="K89" s="27">
        <v>0</v>
      </c>
      <c r="L89" s="27">
        <v>0</v>
      </c>
      <c r="M89" s="27">
        <v>0</v>
      </c>
      <c r="N89" s="27">
        <v>3</v>
      </c>
      <c r="O89" s="29" t="s">
        <v>128</v>
      </c>
    </row>
    <row r="90" spans="1:15" s="66" customFormat="1" ht="45" customHeight="1" x14ac:dyDescent="0.25">
      <c r="A90" s="2">
        <v>69</v>
      </c>
      <c r="B90" s="2">
        <v>208</v>
      </c>
      <c r="C90" s="3" t="s">
        <v>127</v>
      </c>
      <c r="D90" s="2" t="s">
        <v>23</v>
      </c>
      <c r="E90" s="50">
        <v>46201</v>
      </c>
      <c r="F90" s="2">
        <v>1</v>
      </c>
      <c r="G90" s="2">
        <v>4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4" t="s">
        <v>128</v>
      </c>
    </row>
    <row r="91" spans="1:15" ht="45" customHeight="1" x14ac:dyDescent="0.25">
      <c r="A91" s="2">
        <v>70</v>
      </c>
      <c r="B91" s="2" t="s">
        <v>129</v>
      </c>
      <c r="C91" s="3" t="s">
        <v>127</v>
      </c>
      <c r="D91" s="2" t="s">
        <v>23</v>
      </c>
      <c r="E91" s="50" t="s">
        <v>55</v>
      </c>
      <c r="F91" s="2">
        <v>1</v>
      </c>
      <c r="G91" s="2">
        <v>4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4" t="s">
        <v>128</v>
      </c>
    </row>
    <row r="92" spans="1:15" ht="15.95" customHeight="1" x14ac:dyDescent="0.25">
      <c r="A92" s="69" t="s">
        <v>130</v>
      </c>
      <c r="B92" s="68"/>
      <c r="C92" s="68"/>
      <c r="D92" s="68"/>
      <c r="E92" s="68"/>
      <c r="F92" s="8">
        <f t="shared" ref="F92:O92" si="9">SUM(F89:F91)</f>
        <v>3</v>
      </c>
      <c r="G92" s="8">
        <f t="shared" si="9"/>
        <v>12</v>
      </c>
      <c r="H92" s="8">
        <f t="shared" si="9"/>
        <v>2</v>
      </c>
      <c r="I92" s="8">
        <f t="shared" si="9"/>
        <v>2</v>
      </c>
      <c r="J92" s="8">
        <f t="shared" si="9"/>
        <v>0</v>
      </c>
      <c r="K92" s="8">
        <f t="shared" si="9"/>
        <v>0</v>
      </c>
      <c r="L92" s="8">
        <f t="shared" si="9"/>
        <v>0</v>
      </c>
      <c r="M92" s="8">
        <f t="shared" si="9"/>
        <v>0</v>
      </c>
      <c r="N92" s="8">
        <f t="shared" si="9"/>
        <v>3</v>
      </c>
      <c r="O92" s="8">
        <f t="shared" si="9"/>
        <v>0</v>
      </c>
    </row>
    <row r="93" spans="1:15" ht="20.100000000000001" customHeight="1" x14ac:dyDescent="0.25">
      <c r="A93" s="78" t="s">
        <v>131</v>
      </c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</row>
    <row r="94" spans="1:15" ht="45" customHeight="1" x14ac:dyDescent="0.25">
      <c r="A94" s="30">
        <v>71</v>
      </c>
      <c r="B94" s="30" t="s">
        <v>132</v>
      </c>
      <c r="C94" s="31" t="s">
        <v>133</v>
      </c>
      <c r="D94" s="30" t="s">
        <v>45</v>
      </c>
      <c r="E94" s="60" t="s">
        <v>61</v>
      </c>
      <c r="F94" s="30">
        <v>1</v>
      </c>
      <c r="G94" s="30">
        <v>3</v>
      </c>
      <c r="H94" s="30">
        <v>2</v>
      </c>
      <c r="I94" s="30">
        <v>0</v>
      </c>
      <c r="J94" s="30">
        <v>38</v>
      </c>
      <c r="K94" s="30">
        <v>5</v>
      </c>
      <c r="L94" s="30">
        <v>3</v>
      </c>
      <c r="M94" s="30">
        <v>0</v>
      </c>
      <c r="N94" s="30">
        <v>0</v>
      </c>
      <c r="O94" s="32" t="s">
        <v>134</v>
      </c>
    </row>
    <row r="95" spans="1:15" ht="45" customHeight="1" x14ac:dyDescent="0.25">
      <c r="A95" s="2">
        <v>72</v>
      </c>
      <c r="B95" s="2" t="s">
        <v>135</v>
      </c>
      <c r="C95" s="3" t="s">
        <v>133</v>
      </c>
      <c r="D95" s="2" t="s">
        <v>136</v>
      </c>
      <c r="E95" s="50" t="s">
        <v>84</v>
      </c>
      <c r="F95" s="2">
        <v>1</v>
      </c>
      <c r="G95" s="2">
        <v>3</v>
      </c>
      <c r="H95" s="2">
        <v>2</v>
      </c>
      <c r="I95" s="2">
        <v>0</v>
      </c>
      <c r="J95" s="2">
        <v>38</v>
      </c>
      <c r="K95" s="2">
        <v>37</v>
      </c>
      <c r="L95" s="2">
        <v>3</v>
      </c>
      <c r="M95" s="2">
        <v>0</v>
      </c>
      <c r="N95" s="2">
        <v>0</v>
      </c>
      <c r="O95" s="4" t="s">
        <v>134</v>
      </c>
    </row>
    <row r="96" spans="1:15" ht="45" customHeight="1" x14ac:dyDescent="0.25">
      <c r="A96" s="30">
        <v>73</v>
      </c>
      <c r="B96" s="30" t="s">
        <v>135</v>
      </c>
      <c r="C96" s="31" t="s">
        <v>133</v>
      </c>
      <c r="D96" s="30" t="s">
        <v>41</v>
      </c>
      <c r="E96" s="60" t="s">
        <v>42</v>
      </c>
      <c r="F96" s="30">
        <v>1</v>
      </c>
      <c r="G96" s="30">
        <v>3</v>
      </c>
      <c r="H96" s="30">
        <v>2</v>
      </c>
      <c r="I96" s="30">
        <v>4</v>
      </c>
      <c r="J96" s="30">
        <v>38</v>
      </c>
      <c r="K96" s="30">
        <v>317</v>
      </c>
      <c r="L96" s="30">
        <v>3</v>
      </c>
      <c r="M96" s="30">
        <v>0</v>
      </c>
      <c r="N96" s="30">
        <v>2</v>
      </c>
      <c r="O96" s="32" t="s">
        <v>134</v>
      </c>
    </row>
    <row r="97" spans="1:15" ht="15.95" customHeight="1" x14ac:dyDescent="0.25">
      <c r="A97" s="69" t="s">
        <v>137</v>
      </c>
      <c r="B97" s="68"/>
      <c r="C97" s="68"/>
      <c r="D97" s="68"/>
      <c r="E97" s="68"/>
      <c r="F97" s="8">
        <f t="shared" ref="F97:O97" si="10">SUM(F94:F96)</f>
        <v>3</v>
      </c>
      <c r="G97" s="8">
        <f t="shared" si="10"/>
        <v>9</v>
      </c>
      <c r="H97" s="8">
        <f t="shared" si="10"/>
        <v>6</v>
      </c>
      <c r="I97" s="8">
        <f t="shared" si="10"/>
        <v>4</v>
      </c>
      <c r="J97" s="8">
        <f t="shared" si="10"/>
        <v>114</v>
      </c>
      <c r="K97" s="8">
        <f t="shared" si="10"/>
        <v>359</v>
      </c>
      <c r="L97" s="8">
        <f t="shared" si="10"/>
        <v>9</v>
      </c>
      <c r="M97" s="8">
        <f t="shared" si="10"/>
        <v>0</v>
      </c>
      <c r="N97" s="8">
        <f t="shared" si="10"/>
        <v>2</v>
      </c>
      <c r="O97" s="8">
        <f t="shared" si="10"/>
        <v>0</v>
      </c>
    </row>
    <row r="98" spans="1:15" ht="20.100000000000001" customHeight="1" x14ac:dyDescent="0.25">
      <c r="A98" s="86" t="s">
        <v>138</v>
      </c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</row>
    <row r="99" spans="1:15" ht="45" customHeight="1" x14ac:dyDescent="0.25">
      <c r="A99" s="2">
        <v>74</v>
      </c>
      <c r="B99" s="2" t="s">
        <v>139</v>
      </c>
      <c r="C99" s="3" t="s">
        <v>140</v>
      </c>
      <c r="D99" s="2" t="s">
        <v>23</v>
      </c>
      <c r="E99" s="50" t="s">
        <v>84</v>
      </c>
      <c r="F99" s="2">
        <v>2</v>
      </c>
      <c r="G99" s="2">
        <v>2</v>
      </c>
      <c r="H99" s="2">
        <v>0</v>
      </c>
      <c r="I99" s="2">
        <v>0</v>
      </c>
      <c r="J99" s="2">
        <v>57</v>
      </c>
      <c r="K99" s="2">
        <v>0</v>
      </c>
      <c r="L99" s="2">
        <v>0</v>
      </c>
      <c r="M99" s="2">
        <v>0</v>
      </c>
      <c r="N99" s="2">
        <v>0</v>
      </c>
      <c r="O99" s="4" t="s">
        <v>141</v>
      </c>
    </row>
    <row r="100" spans="1:15" ht="45" customHeight="1" x14ac:dyDescent="0.25">
      <c r="A100" s="33">
        <v>75</v>
      </c>
      <c r="B100" s="33" t="s">
        <v>139</v>
      </c>
      <c r="C100" s="34" t="s">
        <v>140</v>
      </c>
      <c r="D100" s="33" t="s">
        <v>41</v>
      </c>
      <c r="E100" s="61" t="s">
        <v>42</v>
      </c>
      <c r="F100" s="33">
        <v>2</v>
      </c>
      <c r="G100" s="33">
        <v>2</v>
      </c>
      <c r="H100" s="33">
        <v>2</v>
      </c>
      <c r="I100" s="33">
        <v>3</v>
      </c>
      <c r="J100" s="33">
        <v>57</v>
      </c>
      <c r="K100" s="33">
        <v>37</v>
      </c>
      <c r="L100" s="33">
        <v>0</v>
      </c>
      <c r="M100" s="33">
        <v>55</v>
      </c>
      <c r="N100" s="33">
        <v>4</v>
      </c>
      <c r="O100" s="35" t="s">
        <v>141</v>
      </c>
    </row>
    <row r="101" spans="1:15" ht="15.95" customHeight="1" x14ac:dyDescent="0.25">
      <c r="A101" s="69" t="s">
        <v>142</v>
      </c>
      <c r="B101" s="68"/>
      <c r="C101" s="68"/>
      <c r="D101" s="68"/>
      <c r="E101" s="68"/>
      <c r="F101" s="8">
        <f t="shared" ref="F101:O101" si="11">SUM(F99:F100)</f>
        <v>4</v>
      </c>
      <c r="G101" s="8">
        <f t="shared" si="11"/>
        <v>4</v>
      </c>
      <c r="H101" s="8">
        <f t="shared" si="11"/>
        <v>2</v>
      </c>
      <c r="I101" s="8">
        <f t="shared" si="11"/>
        <v>3</v>
      </c>
      <c r="J101" s="8">
        <f t="shared" si="11"/>
        <v>114</v>
      </c>
      <c r="K101" s="8">
        <f t="shared" si="11"/>
        <v>37</v>
      </c>
      <c r="L101" s="8">
        <f t="shared" si="11"/>
        <v>0</v>
      </c>
      <c r="M101" s="8">
        <f t="shared" si="11"/>
        <v>55</v>
      </c>
      <c r="N101" s="8">
        <f t="shared" si="11"/>
        <v>4</v>
      </c>
      <c r="O101" s="8">
        <f t="shared" si="11"/>
        <v>0</v>
      </c>
    </row>
    <row r="102" spans="1:15" ht="20.100000000000001" customHeight="1" x14ac:dyDescent="0.25">
      <c r="A102" s="81" t="s">
        <v>143</v>
      </c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</row>
    <row r="103" spans="1:15" ht="45" customHeight="1" x14ac:dyDescent="0.25">
      <c r="A103" s="2">
        <v>76</v>
      </c>
      <c r="B103" s="2" t="s">
        <v>144</v>
      </c>
      <c r="C103" s="3" t="s">
        <v>145</v>
      </c>
      <c r="D103" s="2" t="s">
        <v>136</v>
      </c>
      <c r="E103" s="50" t="s">
        <v>49</v>
      </c>
      <c r="F103" s="2">
        <v>1</v>
      </c>
      <c r="G103" s="2">
        <v>3</v>
      </c>
      <c r="H103" s="2">
        <v>2</v>
      </c>
      <c r="I103" s="2">
        <v>0</v>
      </c>
      <c r="J103" s="2">
        <v>38</v>
      </c>
      <c r="K103" s="2">
        <v>37</v>
      </c>
      <c r="L103" s="2">
        <v>3</v>
      </c>
      <c r="M103" s="2">
        <v>0</v>
      </c>
      <c r="N103" s="2">
        <v>0</v>
      </c>
      <c r="O103" s="4" t="s">
        <v>146</v>
      </c>
    </row>
    <row r="104" spans="1:15" ht="15.95" customHeight="1" x14ac:dyDescent="0.25">
      <c r="A104" s="69" t="s">
        <v>147</v>
      </c>
      <c r="B104" s="68"/>
      <c r="C104" s="68"/>
      <c r="D104" s="68"/>
      <c r="E104" s="68"/>
      <c r="F104" s="8">
        <f t="shared" ref="F104:O104" si="12">SUM(F103:F103)</f>
        <v>1</v>
      </c>
      <c r="G104" s="8">
        <f t="shared" si="12"/>
        <v>3</v>
      </c>
      <c r="H104" s="8">
        <f t="shared" si="12"/>
        <v>2</v>
      </c>
      <c r="I104" s="8">
        <f t="shared" si="12"/>
        <v>0</v>
      </c>
      <c r="J104" s="8">
        <f t="shared" si="12"/>
        <v>38</v>
      </c>
      <c r="K104" s="8">
        <f t="shared" si="12"/>
        <v>37</v>
      </c>
      <c r="L104" s="8">
        <f t="shared" si="12"/>
        <v>3</v>
      </c>
      <c r="M104" s="8">
        <f t="shared" si="12"/>
        <v>0</v>
      </c>
      <c r="N104" s="8">
        <f t="shared" si="12"/>
        <v>0</v>
      </c>
      <c r="O104" s="8">
        <f t="shared" si="12"/>
        <v>0</v>
      </c>
    </row>
    <row r="105" spans="1:15" ht="20.100000000000001" customHeight="1" x14ac:dyDescent="0.25">
      <c r="A105" s="82" t="s">
        <v>148</v>
      </c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</row>
    <row r="106" spans="1:15" ht="45" customHeight="1" x14ac:dyDescent="0.25">
      <c r="A106" s="36">
        <v>77</v>
      </c>
      <c r="B106" s="36" t="s">
        <v>149</v>
      </c>
      <c r="C106" s="37" t="s">
        <v>150</v>
      </c>
      <c r="D106" s="36" t="s">
        <v>35</v>
      </c>
      <c r="E106" s="62" t="s">
        <v>46</v>
      </c>
      <c r="F106" s="36">
        <v>2</v>
      </c>
      <c r="G106" s="36">
        <v>3</v>
      </c>
      <c r="H106" s="36">
        <v>2</v>
      </c>
      <c r="I106" s="36">
        <v>2</v>
      </c>
      <c r="J106" s="36">
        <v>75</v>
      </c>
      <c r="K106" s="36">
        <v>0</v>
      </c>
      <c r="L106" s="36">
        <v>0</v>
      </c>
      <c r="M106" s="36">
        <v>0</v>
      </c>
      <c r="N106" s="36">
        <v>2</v>
      </c>
      <c r="O106" s="38" t="s">
        <v>151</v>
      </c>
    </row>
    <row r="107" spans="1:15" ht="45" customHeight="1" x14ac:dyDescent="0.25">
      <c r="A107" s="2">
        <v>78</v>
      </c>
      <c r="B107" s="2" t="s">
        <v>149</v>
      </c>
      <c r="C107" s="3" t="s">
        <v>150</v>
      </c>
      <c r="D107" s="2" t="s">
        <v>29</v>
      </c>
      <c r="E107" s="50" t="s">
        <v>75</v>
      </c>
      <c r="F107" s="2">
        <v>2</v>
      </c>
      <c r="G107" s="2">
        <v>3</v>
      </c>
      <c r="H107" s="2">
        <v>2</v>
      </c>
      <c r="I107" s="2">
        <v>2</v>
      </c>
      <c r="J107" s="2">
        <v>75</v>
      </c>
      <c r="K107" s="2">
        <v>0</v>
      </c>
      <c r="L107" s="2">
        <v>0</v>
      </c>
      <c r="M107" s="2">
        <v>0</v>
      </c>
      <c r="N107" s="2">
        <v>2</v>
      </c>
      <c r="O107" s="4" t="s">
        <v>151</v>
      </c>
    </row>
    <row r="108" spans="1:15" ht="45" customHeight="1" x14ac:dyDescent="0.25">
      <c r="A108" s="36">
        <v>79</v>
      </c>
      <c r="B108" s="36" t="s">
        <v>149</v>
      </c>
      <c r="C108" s="37" t="s">
        <v>150</v>
      </c>
      <c r="D108" s="36" t="s">
        <v>35</v>
      </c>
      <c r="E108" s="62" t="s">
        <v>90</v>
      </c>
      <c r="F108" s="36">
        <v>2</v>
      </c>
      <c r="G108" s="36">
        <v>3</v>
      </c>
      <c r="H108" s="36">
        <v>2</v>
      </c>
      <c r="I108" s="36">
        <v>2</v>
      </c>
      <c r="J108" s="36">
        <v>75</v>
      </c>
      <c r="K108" s="36">
        <v>0</v>
      </c>
      <c r="L108" s="36">
        <v>0</v>
      </c>
      <c r="M108" s="36">
        <v>0</v>
      </c>
      <c r="N108" s="36">
        <v>2</v>
      </c>
      <c r="O108" s="38" t="s">
        <v>151</v>
      </c>
    </row>
    <row r="109" spans="1:15" ht="15.95" customHeight="1" x14ac:dyDescent="0.25">
      <c r="A109" s="69" t="s">
        <v>152</v>
      </c>
      <c r="B109" s="68"/>
      <c r="C109" s="68"/>
      <c r="D109" s="68"/>
      <c r="E109" s="68"/>
      <c r="F109" s="8">
        <f t="shared" ref="F109:O109" si="13">SUM(F106:F108)</f>
        <v>6</v>
      </c>
      <c r="G109" s="8">
        <f t="shared" si="13"/>
        <v>9</v>
      </c>
      <c r="H109" s="8">
        <f t="shared" si="13"/>
        <v>6</v>
      </c>
      <c r="I109" s="8">
        <f t="shared" si="13"/>
        <v>6</v>
      </c>
      <c r="J109" s="8">
        <f t="shared" si="13"/>
        <v>225</v>
      </c>
      <c r="K109" s="8">
        <f t="shared" si="13"/>
        <v>0</v>
      </c>
      <c r="L109" s="8">
        <f t="shared" si="13"/>
        <v>0</v>
      </c>
      <c r="M109" s="8">
        <f t="shared" si="13"/>
        <v>0</v>
      </c>
      <c r="N109" s="8">
        <f t="shared" si="13"/>
        <v>6</v>
      </c>
      <c r="O109" s="8">
        <f t="shared" si="13"/>
        <v>0</v>
      </c>
    </row>
    <row r="110" spans="1:15" ht="20.100000000000001" customHeight="1" x14ac:dyDescent="0.25">
      <c r="A110" s="87" t="s">
        <v>387</v>
      </c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</row>
    <row r="111" spans="1:15" ht="45" customHeight="1" x14ac:dyDescent="0.25">
      <c r="A111" s="36">
        <v>80</v>
      </c>
      <c r="B111" s="36">
        <v>211</v>
      </c>
      <c r="C111" s="64" t="s">
        <v>388</v>
      </c>
      <c r="D111" s="65" t="s">
        <v>41</v>
      </c>
      <c r="E111" s="62">
        <v>46185</v>
      </c>
      <c r="F111" s="36">
        <v>2</v>
      </c>
      <c r="G111" s="36">
        <v>3</v>
      </c>
      <c r="H111" s="36">
        <v>2</v>
      </c>
      <c r="I111" s="36">
        <v>2</v>
      </c>
      <c r="J111" s="36">
        <v>75</v>
      </c>
      <c r="K111" s="36">
        <v>0</v>
      </c>
      <c r="L111" s="36">
        <v>0</v>
      </c>
      <c r="M111" s="36">
        <v>0</v>
      </c>
      <c r="N111" s="36">
        <v>2</v>
      </c>
      <c r="O111" s="38" t="s">
        <v>151</v>
      </c>
    </row>
    <row r="112" spans="1:15" ht="45" customHeight="1" x14ac:dyDescent="0.25">
      <c r="A112" s="36">
        <v>81</v>
      </c>
      <c r="B112" s="36">
        <v>211</v>
      </c>
      <c r="C112" s="64" t="s">
        <v>388</v>
      </c>
      <c r="D112" s="65" t="s">
        <v>35</v>
      </c>
      <c r="E112" s="62">
        <v>46188</v>
      </c>
      <c r="F112" s="36">
        <v>2</v>
      </c>
      <c r="G112" s="36">
        <v>3</v>
      </c>
      <c r="H112" s="36">
        <v>2</v>
      </c>
      <c r="I112" s="36">
        <v>2</v>
      </c>
      <c r="J112" s="36">
        <v>75</v>
      </c>
      <c r="K112" s="36">
        <v>0</v>
      </c>
      <c r="L112" s="36">
        <v>0</v>
      </c>
      <c r="M112" s="36">
        <v>0</v>
      </c>
      <c r="N112" s="36">
        <v>2</v>
      </c>
      <c r="O112" s="38" t="s">
        <v>151</v>
      </c>
    </row>
    <row r="113" spans="1:15" ht="15.95" customHeight="1" x14ac:dyDescent="0.25">
      <c r="A113" s="88" t="s">
        <v>389</v>
      </c>
      <c r="B113" s="68"/>
      <c r="C113" s="68"/>
      <c r="D113" s="68"/>
      <c r="E113" s="68"/>
      <c r="F113" s="8">
        <f>SUM(F111:F112)</f>
        <v>4</v>
      </c>
      <c r="G113" s="8">
        <f t="shared" ref="G113:O113" si="14">SUM(G110:G112)</f>
        <v>6</v>
      </c>
      <c r="H113" s="8">
        <f t="shared" si="14"/>
        <v>4</v>
      </c>
      <c r="I113" s="8">
        <f t="shared" si="14"/>
        <v>4</v>
      </c>
      <c r="J113" s="8">
        <f t="shared" si="14"/>
        <v>150</v>
      </c>
      <c r="K113" s="8">
        <f t="shared" si="14"/>
        <v>0</v>
      </c>
      <c r="L113" s="8">
        <f t="shared" si="14"/>
        <v>0</v>
      </c>
      <c r="M113" s="8">
        <f t="shared" si="14"/>
        <v>0</v>
      </c>
      <c r="N113" s="8">
        <f t="shared" si="14"/>
        <v>4</v>
      </c>
      <c r="O113" s="8">
        <f t="shared" si="14"/>
        <v>0</v>
      </c>
    </row>
    <row r="114" spans="1:15" ht="21.95" customHeight="1" x14ac:dyDescent="0.25">
      <c r="A114" s="80" t="s">
        <v>153</v>
      </c>
      <c r="B114" s="68"/>
      <c r="C114" s="68"/>
      <c r="D114" s="68"/>
      <c r="E114" s="68"/>
      <c r="F114" s="39">
        <f t="shared" ref="F114:N114" si="15">SUM(F5:F112)</f>
        <v>286</v>
      </c>
      <c r="G114" s="39">
        <f t="shared" si="15"/>
        <v>570</v>
      </c>
      <c r="H114" s="39">
        <f t="shared" si="15"/>
        <v>162</v>
      </c>
      <c r="I114" s="39">
        <f t="shared" si="15"/>
        <v>68</v>
      </c>
      <c r="J114" s="39">
        <f t="shared" si="15"/>
        <v>5856</v>
      </c>
      <c r="K114" s="39">
        <f t="shared" si="15"/>
        <v>7354</v>
      </c>
      <c r="L114" s="39">
        <f t="shared" si="15"/>
        <v>24</v>
      </c>
      <c r="M114" s="39">
        <f t="shared" si="15"/>
        <v>330</v>
      </c>
      <c r="N114" s="39">
        <f t="shared" si="15"/>
        <v>58</v>
      </c>
      <c r="O114" s="39">
        <f>SUM(O5:O109)</f>
        <v>0</v>
      </c>
    </row>
  </sheetData>
  <mergeCells count="46">
    <mergeCell ref="A114:E114"/>
    <mergeCell ref="A30:E30"/>
    <mergeCell ref="A102:O102"/>
    <mergeCell ref="A101:E101"/>
    <mergeCell ref="K3:K4"/>
    <mergeCell ref="A105:O105"/>
    <mergeCell ref="C3:C4"/>
    <mergeCell ref="O3:O4"/>
    <mergeCell ref="E3:E4"/>
    <mergeCell ref="A76:O76"/>
    <mergeCell ref="A98:O98"/>
    <mergeCell ref="A97:E97"/>
    <mergeCell ref="A110:O110"/>
    <mergeCell ref="A113:E113"/>
    <mergeCell ref="A104:E104"/>
    <mergeCell ref="A84:O84"/>
    <mergeCell ref="A88:O88"/>
    <mergeCell ref="A109:E109"/>
    <mergeCell ref="A80:E80"/>
    <mergeCell ref="A1:O1"/>
    <mergeCell ref="A83:E83"/>
    <mergeCell ref="A62:O62"/>
    <mergeCell ref="A92:E92"/>
    <mergeCell ref="A93:O93"/>
    <mergeCell ref="A3:A4"/>
    <mergeCell ref="G3:G4"/>
    <mergeCell ref="M3:M4"/>
    <mergeCell ref="I3:I4"/>
    <mergeCell ref="D3:D4"/>
    <mergeCell ref="A75:E75"/>
    <mergeCell ref="H3:H4"/>
    <mergeCell ref="A2:O2"/>
    <mergeCell ref="J3:J4"/>
    <mergeCell ref="A8:E8"/>
    <mergeCell ref="A14:E14"/>
    <mergeCell ref="A87:E87"/>
    <mergeCell ref="A9:O9"/>
    <mergeCell ref="A31:O31"/>
    <mergeCell ref="A81:O81"/>
    <mergeCell ref="L3:L4"/>
    <mergeCell ref="B3:B4"/>
    <mergeCell ref="A61:E61"/>
    <mergeCell ref="N3:N4"/>
    <mergeCell ref="F3:F4"/>
    <mergeCell ref="A15:O15"/>
    <mergeCell ref="A5:O5"/>
  </mergeCells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9"/>
  <sheetViews>
    <sheetView topLeftCell="A7" workbookViewId="0">
      <selection sqref="A1:E1"/>
    </sheetView>
  </sheetViews>
  <sheetFormatPr defaultRowHeight="15" x14ac:dyDescent="0.25"/>
  <cols>
    <col min="1" max="1" width="45" customWidth="1"/>
    <col min="2" max="2" width="42" customWidth="1"/>
    <col min="3" max="3" width="30" customWidth="1"/>
    <col min="4" max="4" width="40" customWidth="1"/>
    <col min="5" max="5" width="22" customWidth="1"/>
  </cols>
  <sheetData>
    <row r="1" spans="1:5" ht="24" customHeight="1" x14ac:dyDescent="0.25">
      <c r="A1" s="90" t="s">
        <v>154</v>
      </c>
      <c r="B1" s="68"/>
      <c r="C1" s="68"/>
      <c r="D1" s="68"/>
      <c r="E1" s="68"/>
    </row>
    <row r="2" spans="1:5" ht="35.1" customHeight="1" x14ac:dyDescent="0.25">
      <c r="A2" s="1" t="s">
        <v>155</v>
      </c>
      <c r="B2" s="1" t="s">
        <v>156</v>
      </c>
      <c r="C2" s="1" t="s">
        <v>157</v>
      </c>
      <c r="D2" s="1" t="s">
        <v>158</v>
      </c>
      <c r="E2" s="1" t="s">
        <v>159</v>
      </c>
    </row>
    <row r="4" spans="1:5" ht="27.95" customHeight="1" x14ac:dyDescent="0.25">
      <c r="A4" s="91" t="s">
        <v>160</v>
      </c>
      <c r="B4" s="68"/>
      <c r="C4" s="68"/>
      <c r="D4" s="68"/>
      <c r="E4" s="68"/>
    </row>
    <row r="5" spans="1:5" ht="18" customHeight="1" x14ac:dyDescent="0.25">
      <c r="A5" s="40"/>
      <c r="B5" s="40" t="s">
        <v>161</v>
      </c>
      <c r="C5" s="40" t="s">
        <v>162</v>
      </c>
      <c r="D5" s="40" t="s">
        <v>163</v>
      </c>
      <c r="E5" s="41" t="s">
        <v>164</v>
      </c>
    </row>
    <row r="6" spans="1:5" ht="18" customHeight="1" x14ac:dyDescent="0.25">
      <c r="A6" s="3"/>
      <c r="B6" s="3" t="s">
        <v>165</v>
      </c>
      <c r="C6" s="3" t="s">
        <v>166</v>
      </c>
      <c r="D6" s="3" t="s">
        <v>167</v>
      </c>
      <c r="E6" s="2" t="s">
        <v>168</v>
      </c>
    </row>
    <row r="7" spans="1:5" ht="18" customHeight="1" x14ac:dyDescent="0.25">
      <c r="A7" s="40"/>
      <c r="B7" s="40" t="s">
        <v>169</v>
      </c>
      <c r="C7" s="40" t="s">
        <v>170</v>
      </c>
      <c r="D7" s="40" t="s">
        <v>167</v>
      </c>
      <c r="E7" s="41" t="s">
        <v>168</v>
      </c>
    </row>
    <row r="8" spans="1:5" ht="18" customHeight="1" x14ac:dyDescent="0.25">
      <c r="A8" s="3"/>
      <c r="B8" s="3" t="s">
        <v>171</v>
      </c>
      <c r="C8" s="3" t="s">
        <v>172</v>
      </c>
      <c r="D8" s="3" t="s">
        <v>173</v>
      </c>
      <c r="E8" s="2" t="s">
        <v>168</v>
      </c>
    </row>
    <row r="9" spans="1:5" ht="18" customHeight="1" x14ac:dyDescent="0.25">
      <c r="A9" s="40"/>
      <c r="B9" s="40" t="s">
        <v>174</v>
      </c>
      <c r="C9" s="40" t="s">
        <v>175</v>
      </c>
      <c r="D9" s="40" t="s">
        <v>176</v>
      </c>
      <c r="E9" s="41" t="s">
        <v>168</v>
      </c>
    </row>
    <row r="10" spans="1:5" ht="18" customHeight="1" x14ac:dyDescent="0.25">
      <c r="A10" s="3"/>
      <c r="B10" s="3" t="s">
        <v>177</v>
      </c>
      <c r="C10" s="3" t="s">
        <v>178</v>
      </c>
      <c r="D10" s="3" t="s">
        <v>178</v>
      </c>
      <c r="E10" s="2" t="s">
        <v>179</v>
      </c>
    </row>
    <row r="12" spans="1:5" ht="27.95" customHeight="1" x14ac:dyDescent="0.25">
      <c r="A12" s="91" t="s">
        <v>180</v>
      </c>
      <c r="B12" s="68"/>
      <c r="C12" s="68"/>
      <c r="D12" s="68"/>
      <c r="E12" s="68"/>
    </row>
    <row r="13" spans="1:5" ht="18" customHeight="1" x14ac:dyDescent="0.25">
      <c r="A13" s="40"/>
      <c r="B13" s="40" t="s">
        <v>161</v>
      </c>
      <c r="C13" s="40" t="s">
        <v>181</v>
      </c>
      <c r="D13" s="40" t="s">
        <v>178</v>
      </c>
      <c r="E13" s="41" t="s">
        <v>182</v>
      </c>
    </row>
    <row r="14" spans="1:5" ht="18" customHeight="1" x14ac:dyDescent="0.25">
      <c r="A14" s="3"/>
      <c r="B14" s="3" t="s">
        <v>171</v>
      </c>
      <c r="C14" s="3" t="s">
        <v>183</v>
      </c>
      <c r="D14" s="3" t="s">
        <v>184</v>
      </c>
      <c r="E14" s="2" t="s">
        <v>182</v>
      </c>
    </row>
    <row r="15" spans="1:5" ht="18" customHeight="1" x14ac:dyDescent="0.25">
      <c r="A15" s="40"/>
      <c r="B15" s="40" t="s">
        <v>185</v>
      </c>
      <c r="C15" s="40" t="s">
        <v>186</v>
      </c>
      <c r="D15" s="40" t="s">
        <v>178</v>
      </c>
      <c r="E15" s="41" t="s">
        <v>187</v>
      </c>
    </row>
    <row r="16" spans="1:5" ht="18" customHeight="1" x14ac:dyDescent="0.25">
      <c r="A16" s="3"/>
      <c r="B16" s="3" t="s">
        <v>188</v>
      </c>
      <c r="C16" s="3" t="s">
        <v>189</v>
      </c>
      <c r="D16" s="3" t="s">
        <v>190</v>
      </c>
      <c r="E16" s="2" t="s">
        <v>182</v>
      </c>
    </row>
    <row r="17" spans="1:5" ht="18" customHeight="1" x14ac:dyDescent="0.25">
      <c r="A17" s="40"/>
      <c r="B17" s="40" t="s">
        <v>191</v>
      </c>
      <c r="C17" s="40" t="s">
        <v>192</v>
      </c>
      <c r="D17" s="40" t="s">
        <v>193</v>
      </c>
      <c r="E17" s="41" t="s">
        <v>194</v>
      </c>
    </row>
    <row r="18" spans="1:5" ht="18" customHeight="1" x14ac:dyDescent="0.25">
      <c r="A18" s="3"/>
      <c r="B18" s="3" t="s">
        <v>195</v>
      </c>
      <c r="C18" s="3" t="s">
        <v>178</v>
      </c>
      <c r="D18" s="3" t="s">
        <v>178</v>
      </c>
      <c r="E18" s="2" t="s">
        <v>196</v>
      </c>
    </row>
    <row r="20" spans="1:5" ht="27.95" customHeight="1" x14ac:dyDescent="0.25">
      <c r="A20" s="91" t="s">
        <v>197</v>
      </c>
      <c r="B20" s="68"/>
      <c r="C20" s="68"/>
      <c r="D20" s="68"/>
      <c r="E20" s="68"/>
    </row>
    <row r="21" spans="1:5" ht="18" customHeight="1" x14ac:dyDescent="0.25">
      <c r="A21" s="40"/>
      <c r="B21" s="40" t="s">
        <v>161</v>
      </c>
      <c r="C21" s="40" t="s">
        <v>198</v>
      </c>
      <c r="D21" s="40" t="s">
        <v>199</v>
      </c>
      <c r="E21" s="41" t="s">
        <v>200</v>
      </c>
    </row>
    <row r="22" spans="1:5" ht="18" customHeight="1" x14ac:dyDescent="0.25">
      <c r="A22" s="3"/>
      <c r="B22" s="3" t="s">
        <v>171</v>
      </c>
      <c r="C22" s="3" t="s">
        <v>201</v>
      </c>
      <c r="D22" s="3" t="s">
        <v>202</v>
      </c>
      <c r="E22" s="2" t="s">
        <v>203</v>
      </c>
    </row>
    <row r="23" spans="1:5" ht="18" customHeight="1" x14ac:dyDescent="0.25">
      <c r="A23" s="40"/>
      <c r="B23" s="40" t="s">
        <v>169</v>
      </c>
      <c r="C23" s="40" t="s">
        <v>204</v>
      </c>
      <c r="D23" s="40" t="s">
        <v>205</v>
      </c>
      <c r="E23" s="41" t="s">
        <v>206</v>
      </c>
    </row>
    <row r="24" spans="1:5" ht="18" customHeight="1" x14ac:dyDescent="0.25">
      <c r="A24" s="3"/>
      <c r="B24" s="3" t="s">
        <v>174</v>
      </c>
      <c r="C24" s="3" t="s">
        <v>207</v>
      </c>
      <c r="D24" s="3" t="s">
        <v>178</v>
      </c>
      <c r="E24" s="2" t="s">
        <v>203</v>
      </c>
    </row>
    <row r="25" spans="1:5" ht="18" customHeight="1" x14ac:dyDescent="0.25">
      <c r="A25" s="40"/>
      <c r="B25" s="40" t="s">
        <v>195</v>
      </c>
      <c r="C25" s="40" t="s">
        <v>178</v>
      </c>
      <c r="D25" s="40" t="s">
        <v>178</v>
      </c>
      <c r="E25" s="41" t="s">
        <v>208</v>
      </c>
    </row>
    <row r="26" spans="1:5" ht="18" customHeight="1" x14ac:dyDescent="0.25">
      <c r="A26" s="3"/>
      <c r="B26" s="3" t="s">
        <v>209</v>
      </c>
      <c r="C26" s="3" t="s">
        <v>178</v>
      </c>
      <c r="D26" s="3" t="s">
        <v>178</v>
      </c>
      <c r="E26" s="2" t="s">
        <v>210</v>
      </c>
    </row>
    <row r="27" spans="1:5" ht="18" customHeight="1" x14ac:dyDescent="0.25">
      <c r="A27" s="40"/>
      <c r="B27" s="40" t="s">
        <v>211</v>
      </c>
      <c r="C27" s="40" t="s">
        <v>178</v>
      </c>
      <c r="D27" s="40" t="s">
        <v>178</v>
      </c>
      <c r="E27" s="41" t="s">
        <v>212</v>
      </c>
    </row>
    <row r="29" spans="1:5" ht="27.95" customHeight="1" x14ac:dyDescent="0.25">
      <c r="A29" s="91" t="s">
        <v>213</v>
      </c>
      <c r="B29" s="68"/>
      <c r="C29" s="68"/>
      <c r="D29" s="68"/>
      <c r="E29" s="68"/>
    </row>
    <row r="30" spans="1:5" ht="18" customHeight="1" x14ac:dyDescent="0.25">
      <c r="A30" s="40"/>
      <c r="B30" s="40" t="s">
        <v>161</v>
      </c>
      <c r="C30" s="40" t="s">
        <v>198</v>
      </c>
      <c r="D30" s="40" t="s">
        <v>199</v>
      </c>
      <c r="E30" s="41" t="s">
        <v>200</v>
      </c>
    </row>
    <row r="31" spans="1:5" ht="18" customHeight="1" x14ac:dyDescent="0.25">
      <c r="A31" s="3"/>
      <c r="B31" s="3" t="s">
        <v>171</v>
      </c>
      <c r="C31" s="3" t="s">
        <v>201</v>
      </c>
      <c r="D31" s="3" t="s">
        <v>202</v>
      </c>
      <c r="E31" s="2" t="s">
        <v>203</v>
      </c>
    </row>
    <row r="32" spans="1:5" ht="18" customHeight="1" x14ac:dyDescent="0.25">
      <c r="A32" s="40"/>
      <c r="B32" s="40" t="s">
        <v>169</v>
      </c>
      <c r="C32" s="40" t="s">
        <v>204</v>
      </c>
      <c r="D32" s="40" t="s">
        <v>205</v>
      </c>
      <c r="E32" s="41" t="s">
        <v>206</v>
      </c>
    </row>
    <row r="33" spans="1:5" ht="18" customHeight="1" x14ac:dyDescent="0.25">
      <c r="A33" s="3"/>
      <c r="B33" s="3" t="s">
        <v>174</v>
      </c>
      <c r="C33" s="3" t="s">
        <v>207</v>
      </c>
      <c r="D33" s="3" t="s">
        <v>178</v>
      </c>
      <c r="E33" s="2" t="s">
        <v>203</v>
      </c>
    </row>
    <row r="34" spans="1:5" ht="18" customHeight="1" x14ac:dyDescent="0.25">
      <c r="A34" s="40"/>
      <c r="B34" s="40" t="s">
        <v>195</v>
      </c>
      <c r="C34" s="40" t="s">
        <v>178</v>
      </c>
      <c r="D34" s="40" t="s">
        <v>178</v>
      </c>
      <c r="E34" s="41" t="s">
        <v>208</v>
      </c>
    </row>
    <row r="35" spans="1:5" ht="18" customHeight="1" x14ac:dyDescent="0.25">
      <c r="A35" s="3"/>
      <c r="B35" s="3" t="s">
        <v>209</v>
      </c>
      <c r="C35" s="3" t="s">
        <v>178</v>
      </c>
      <c r="D35" s="3" t="s">
        <v>178</v>
      </c>
      <c r="E35" s="2" t="s">
        <v>210</v>
      </c>
    </row>
    <row r="36" spans="1:5" ht="18" customHeight="1" x14ac:dyDescent="0.25">
      <c r="A36" s="40"/>
      <c r="B36" s="40" t="s">
        <v>211</v>
      </c>
      <c r="C36" s="40" t="s">
        <v>178</v>
      </c>
      <c r="D36" s="40" t="s">
        <v>178</v>
      </c>
      <c r="E36" s="41" t="s">
        <v>212</v>
      </c>
    </row>
    <row r="38" spans="1:5" ht="27.95" customHeight="1" x14ac:dyDescent="0.25">
      <c r="A38" s="91" t="s">
        <v>214</v>
      </c>
      <c r="B38" s="68"/>
      <c r="C38" s="68"/>
      <c r="D38" s="68"/>
      <c r="E38" s="68"/>
    </row>
    <row r="39" spans="1:5" ht="18" customHeight="1" x14ac:dyDescent="0.25">
      <c r="A39" s="40"/>
      <c r="B39" s="40" t="s">
        <v>161</v>
      </c>
      <c r="C39" s="40" t="s">
        <v>215</v>
      </c>
      <c r="D39" s="40" t="s">
        <v>216</v>
      </c>
      <c r="E39" s="41" t="s">
        <v>200</v>
      </c>
    </row>
    <row r="40" spans="1:5" ht="18" customHeight="1" x14ac:dyDescent="0.25">
      <c r="A40" s="3"/>
      <c r="B40" s="3" t="s">
        <v>171</v>
      </c>
      <c r="C40" s="3" t="s">
        <v>217</v>
      </c>
      <c r="D40" s="3" t="s">
        <v>218</v>
      </c>
      <c r="E40" s="2" t="s">
        <v>203</v>
      </c>
    </row>
    <row r="41" spans="1:5" ht="18" customHeight="1" x14ac:dyDescent="0.25">
      <c r="A41" s="40"/>
      <c r="B41" s="40" t="s">
        <v>219</v>
      </c>
      <c r="C41" s="40" t="s">
        <v>220</v>
      </c>
      <c r="D41" s="40" t="s">
        <v>221</v>
      </c>
      <c r="E41" s="41" t="s">
        <v>203</v>
      </c>
    </row>
    <row r="42" spans="1:5" ht="18" customHeight="1" x14ac:dyDescent="0.25">
      <c r="A42" s="3"/>
      <c r="B42" s="3" t="s">
        <v>169</v>
      </c>
      <c r="C42" s="3" t="s">
        <v>222</v>
      </c>
      <c r="D42" s="3" t="s">
        <v>223</v>
      </c>
      <c r="E42" s="2" t="s">
        <v>203</v>
      </c>
    </row>
    <row r="43" spans="1:5" ht="18" customHeight="1" x14ac:dyDescent="0.25">
      <c r="A43" s="40"/>
      <c r="B43" s="40" t="s">
        <v>224</v>
      </c>
      <c r="C43" s="40" t="s">
        <v>225</v>
      </c>
      <c r="D43" s="40" t="s">
        <v>226</v>
      </c>
      <c r="E43" s="41" t="s">
        <v>227</v>
      </c>
    </row>
    <row r="44" spans="1:5" ht="18" customHeight="1" x14ac:dyDescent="0.25">
      <c r="A44" s="3"/>
      <c r="B44" s="3" t="s">
        <v>228</v>
      </c>
      <c r="C44" s="3" t="s">
        <v>229</v>
      </c>
      <c r="D44" s="3" t="s">
        <v>230</v>
      </c>
      <c r="E44" s="2" t="s">
        <v>227</v>
      </c>
    </row>
    <row r="45" spans="1:5" ht="18" customHeight="1" x14ac:dyDescent="0.25">
      <c r="A45" s="40"/>
      <c r="B45" s="40" t="s">
        <v>231</v>
      </c>
      <c r="C45" s="40" t="s">
        <v>232</v>
      </c>
      <c r="D45" s="40" t="s">
        <v>178</v>
      </c>
      <c r="E45" s="41" t="s">
        <v>227</v>
      </c>
    </row>
    <row r="46" spans="1:5" ht="18" customHeight="1" x14ac:dyDescent="0.25">
      <c r="A46" s="3"/>
      <c r="B46" s="3" t="s">
        <v>231</v>
      </c>
      <c r="C46" s="3" t="s">
        <v>233</v>
      </c>
      <c r="D46" s="3" t="s">
        <v>178</v>
      </c>
      <c r="E46" s="2" t="s">
        <v>227</v>
      </c>
    </row>
    <row r="47" spans="1:5" ht="18" customHeight="1" x14ac:dyDescent="0.25">
      <c r="A47" s="40"/>
      <c r="B47" s="40" t="s">
        <v>234</v>
      </c>
      <c r="C47" s="40" t="s">
        <v>235</v>
      </c>
      <c r="D47" s="40" t="s">
        <v>178</v>
      </c>
      <c r="E47" s="41" t="s">
        <v>227</v>
      </c>
    </row>
    <row r="48" spans="1:5" ht="18" customHeight="1" x14ac:dyDescent="0.25">
      <c r="A48" s="3"/>
      <c r="B48" s="3" t="s">
        <v>236</v>
      </c>
      <c r="C48" s="3" t="s">
        <v>178</v>
      </c>
      <c r="D48" s="3" t="s">
        <v>178</v>
      </c>
      <c r="E48" s="2" t="s">
        <v>237</v>
      </c>
    </row>
    <row r="49" spans="1:5" ht="18" customHeight="1" x14ac:dyDescent="0.25">
      <c r="A49" s="40"/>
      <c r="B49" s="40" t="s">
        <v>238</v>
      </c>
      <c r="C49" s="40" t="s">
        <v>178</v>
      </c>
      <c r="D49" s="40" t="s">
        <v>178</v>
      </c>
      <c r="E49" s="41" t="s">
        <v>239</v>
      </c>
    </row>
    <row r="50" spans="1:5" ht="18" customHeight="1" x14ac:dyDescent="0.25">
      <c r="A50" s="3"/>
      <c r="B50" s="3" t="s">
        <v>240</v>
      </c>
      <c r="C50" s="3" t="s">
        <v>178</v>
      </c>
      <c r="D50" s="3" t="s">
        <v>178</v>
      </c>
      <c r="E50" s="2" t="s">
        <v>241</v>
      </c>
    </row>
    <row r="51" spans="1:5" ht="18" customHeight="1" x14ac:dyDescent="0.25">
      <c r="A51" s="40"/>
      <c r="B51" s="40" t="s">
        <v>242</v>
      </c>
      <c r="C51" s="40" t="s">
        <v>178</v>
      </c>
      <c r="D51" s="40" t="s">
        <v>178</v>
      </c>
      <c r="E51" s="41" t="s">
        <v>243</v>
      </c>
    </row>
    <row r="53" spans="1:5" ht="27.95" customHeight="1" x14ac:dyDescent="0.25">
      <c r="A53" s="91" t="s">
        <v>244</v>
      </c>
      <c r="B53" s="68"/>
      <c r="C53" s="68"/>
      <c r="D53" s="68"/>
      <c r="E53" s="68"/>
    </row>
    <row r="54" spans="1:5" ht="18" customHeight="1" x14ac:dyDescent="0.25">
      <c r="A54" s="40"/>
      <c r="B54" s="40" t="s">
        <v>161</v>
      </c>
      <c r="C54" s="40" t="s">
        <v>245</v>
      </c>
      <c r="D54" s="40" t="s">
        <v>246</v>
      </c>
      <c r="E54" s="41" t="s">
        <v>203</v>
      </c>
    </row>
    <row r="55" spans="1:5" ht="18" customHeight="1" x14ac:dyDescent="0.25">
      <c r="A55" s="3"/>
      <c r="B55" s="3" t="s">
        <v>247</v>
      </c>
      <c r="C55" s="3" t="s">
        <v>248</v>
      </c>
      <c r="D55" s="3" t="s">
        <v>249</v>
      </c>
      <c r="E55" s="2" t="s">
        <v>203</v>
      </c>
    </row>
    <row r="56" spans="1:5" ht="18" customHeight="1" x14ac:dyDescent="0.25">
      <c r="A56" s="40"/>
      <c r="B56" s="40" t="s">
        <v>171</v>
      </c>
      <c r="C56" s="40" t="s">
        <v>250</v>
      </c>
      <c r="D56" s="40" t="s">
        <v>251</v>
      </c>
      <c r="E56" s="41" t="s">
        <v>200</v>
      </c>
    </row>
    <row r="57" spans="1:5" ht="18" customHeight="1" x14ac:dyDescent="0.25">
      <c r="A57" s="3"/>
      <c r="B57" s="3" t="s">
        <v>252</v>
      </c>
      <c r="C57" s="3" t="s">
        <v>253</v>
      </c>
      <c r="D57" s="3" t="s">
        <v>254</v>
      </c>
      <c r="E57" s="2" t="s">
        <v>203</v>
      </c>
    </row>
    <row r="58" spans="1:5" ht="18" customHeight="1" x14ac:dyDescent="0.25">
      <c r="A58" s="40"/>
      <c r="B58" s="40" t="s">
        <v>255</v>
      </c>
      <c r="C58" s="40" t="s">
        <v>256</v>
      </c>
      <c r="D58" s="40" t="s">
        <v>257</v>
      </c>
      <c r="E58" s="41" t="s">
        <v>203</v>
      </c>
    </row>
    <row r="59" spans="1:5" ht="18" customHeight="1" x14ac:dyDescent="0.25">
      <c r="A59" s="3"/>
      <c r="B59" s="3" t="s">
        <v>258</v>
      </c>
      <c r="C59" s="3" t="s">
        <v>259</v>
      </c>
      <c r="D59" s="3" t="s">
        <v>178</v>
      </c>
      <c r="E59" s="2" t="s">
        <v>260</v>
      </c>
    </row>
    <row r="60" spans="1:5" ht="18" customHeight="1" x14ac:dyDescent="0.25">
      <c r="A60" s="40"/>
      <c r="B60" s="40" t="s">
        <v>258</v>
      </c>
      <c r="C60" s="40" t="s">
        <v>261</v>
      </c>
      <c r="D60" s="40" t="s">
        <v>178</v>
      </c>
      <c r="E60" s="41" t="s">
        <v>227</v>
      </c>
    </row>
    <row r="61" spans="1:5" ht="18" customHeight="1" x14ac:dyDescent="0.25">
      <c r="A61" s="3"/>
      <c r="B61" s="3" t="s">
        <v>262</v>
      </c>
      <c r="C61" s="3" t="s">
        <v>178</v>
      </c>
      <c r="D61" s="3" t="s">
        <v>178</v>
      </c>
      <c r="E61" s="2" t="s">
        <v>210</v>
      </c>
    </row>
    <row r="62" spans="1:5" ht="18" customHeight="1" x14ac:dyDescent="0.25">
      <c r="A62" s="40"/>
      <c r="B62" s="40" t="s">
        <v>263</v>
      </c>
      <c r="C62" s="40" t="s">
        <v>178</v>
      </c>
      <c r="D62" s="40" t="s">
        <v>178</v>
      </c>
      <c r="E62" s="41" t="s">
        <v>264</v>
      </c>
    </row>
    <row r="63" spans="1:5" ht="18" customHeight="1" x14ac:dyDescent="0.25">
      <c r="A63" s="3"/>
      <c r="B63" s="3" t="s">
        <v>265</v>
      </c>
      <c r="C63" s="3" t="s">
        <v>178</v>
      </c>
      <c r="D63" s="3" t="s">
        <v>178</v>
      </c>
      <c r="E63" s="2" t="s">
        <v>266</v>
      </c>
    </row>
    <row r="65" spans="1:5" ht="27.95" customHeight="1" x14ac:dyDescent="0.25">
      <c r="A65" s="91" t="s">
        <v>267</v>
      </c>
      <c r="B65" s="68"/>
      <c r="C65" s="68"/>
      <c r="D65" s="68"/>
      <c r="E65" s="68"/>
    </row>
    <row r="66" spans="1:5" ht="18" customHeight="1" x14ac:dyDescent="0.25">
      <c r="A66" s="40"/>
      <c r="B66" s="40" t="s">
        <v>161</v>
      </c>
      <c r="C66" s="40" t="s">
        <v>178</v>
      </c>
      <c r="D66" s="40" t="s">
        <v>246</v>
      </c>
      <c r="E66" s="41" t="s">
        <v>227</v>
      </c>
    </row>
    <row r="67" spans="1:5" ht="18" customHeight="1" x14ac:dyDescent="0.25">
      <c r="A67" s="3"/>
      <c r="B67" s="3" t="s">
        <v>247</v>
      </c>
      <c r="C67" s="3" t="s">
        <v>178</v>
      </c>
      <c r="D67" s="3" t="s">
        <v>249</v>
      </c>
      <c r="E67" s="2" t="s">
        <v>227</v>
      </c>
    </row>
    <row r="68" spans="1:5" ht="18" customHeight="1" x14ac:dyDescent="0.25">
      <c r="A68" s="40"/>
      <c r="B68" s="40" t="s">
        <v>171</v>
      </c>
      <c r="C68" s="40" t="s">
        <v>178</v>
      </c>
      <c r="D68" s="40" t="s">
        <v>251</v>
      </c>
      <c r="E68" s="41" t="s">
        <v>260</v>
      </c>
    </row>
    <row r="69" spans="1:5" ht="18" customHeight="1" x14ac:dyDescent="0.25">
      <c r="A69" s="3"/>
      <c r="B69" s="3" t="s">
        <v>262</v>
      </c>
      <c r="C69" s="3" t="s">
        <v>178</v>
      </c>
      <c r="D69" s="3" t="s">
        <v>178</v>
      </c>
      <c r="E69" s="2" t="s">
        <v>268</v>
      </c>
    </row>
    <row r="71" spans="1:5" ht="27.95" customHeight="1" x14ac:dyDescent="0.25">
      <c r="A71" s="91" t="s">
        <v>269</v>
      </c>
      <c r="B71" s="68"/>
      <c r="C71" s="68"/>
      <c r="D71" s="68"/>
      <c r="E71" s="68"/>
    </row>
    <row r="72" spans="1:5" ht="18" customHeight="1" x14ac:dyDescent="0.25">
      <c r="A72" s="40"/>
      <c r="B72" s="40" t="s">
        <v>161</v>
      </c>
      <c r="C72" s="40" t="s">
        <v>178</v>
      </c>
      <c r="D72" s="40" t="s">
        <v>246</v>
      </c>
      <c r="E72" s="41" t="s">
        <v>168</v>
      </c>
    </row>
    <row r="73" spans="1:5" ht="18" customHeight="1" x14ac:dyDescent="0.25">
      <c r="A73" s="3"/>
      <c r="B73" s="3" t="s">
        <v>247</v>
      </c>
      <c r="C73" s="3" t="s">
        <v>178</v>
      </c>
      <c r="D73" s="3" t="s">
        <v>249</v>
      </c>
      <c r="E73" s="2" t="s">
        <v>168</v>
      </c>
    </row>
    <row r="74" spans="1:5" ht="18" customHeight="1" x14ac:dyDescent="0.25">
      <c r="A74" s="40"/>
      <c r="B74" s="40" t="s">
        <v>171</v>
      </c>
      <c r="C74" s="40" t="s">
        <v>178</v>
      </c>
      <c r="D74" s="40" t="s">
        <v>251</v>
      </c>
      <c r="E74" s="41" t="s">
        <v>164</v>
      </c>
    </row>
    <row r="75" spans="1:5" ht="18" customHeight="1" x14ac:dyDescent="0.25">
      <c r="A75" s="3"/>
      <c r="B75" s="3" t="s">
        <v>270</v>
      </c>
      <c r="C75" s="3" t="s">
        <v>178</v>
      </c>
      <c r="D75" s="3" t="s">
        <v>254</v>
      </c>
      <c r="E75" s="2" t="s">
        <v>227</v>
      </c>
    </row>
    <row r="76" spans="1:5" ht="18" customHeight="1" x14ac:dyDescent="0.25">
      <c r="A76" s="40"/>
      <c r="B76" s="40" t="s">
        <v>271</v>
      </c>
      <c r="C76" s="40" t="s">
        <v>178</v>
      </c>
      <c r="D76" s="40" t="s">
        <v>257</v>
      </c>
      <c r="E76" s="41" t="s">
        <v>227</v>
      </c>
    </row>
    <row r="77" spans="1:5" ht="18" customHeight="1" x14ac:dyDescent="0.25">
      <c r="A77" s="3"/>
      <c r="B77" s="3" t="s">
        <v>262</v>
      </c>
      <c r="C77" s="3" t="s">
        <v>178</v>
      </c>
      <c r="D77" s="3" t="s">
        <v>178</v>
      </c>
      <c r="E77" s="2" t="s">
        <v>272</v>
      </c>
    </row>
    <row r="79" spans="1:5" ht="27.95" customHeight="1" x14ac:dyDescent="0.25">
      <c r="A79" s="91" t="s">
        <v>273</v>
      </c>
      <c r="B79" s="68"/>
      <c r="C79" s="68"/>
      <c r="D79" s="68"/>
      <c r="E79" s="68"/>
    </row>
    <row r="80" spans="1:5" ht="18" customHeight="1" x14ac:dyDescent="0.25">
      <c r="A80" s="40"/>
      <c r="B80" s="40" t="s">
        <v>161</v>
      </c>
      <c r="C80" s="40" t="s">
        <v>274</v>
      </c>
      <c r="D80" s="40" t="s">
        <v>275</v>
      </c>
      <c r="E80" s="41" t="s">
        <v>203</v>
      </c>
    </row>
    <row r="81" spans="1:5" ht="18" customHeight="1" x14ac:dyDescent="0.25">
      <c r="A81" s="3"/>
      <c r="B81" s="3" t="s">
        <v>171</v>
      </c>
      <c r="C81" s="3" t="s">
        <v>276</v>
      </c>
      <c r="D81" s="3" t="s">
        <v>277</v>
      </c>
      <c r="E81" s="2" t="s">
        <v>200</v>
      </c>
    </row>
    <row r="82" spans="1:5" ht="18" customHeight="1" x14ac:dyDescent="0.25">
      <c r="A82" s="40"/>
      <c r="B82" s="40" t="s">
        <v>278</v>
      </c>
      <c r="C82" s="40" t="s">
        <v>279</v>
      </c>
      <c r="D82" s="40" t="s">
        <v>280</v>
      </c>
      <c r="E82" s="41" t="s">
        <v>203</v>
      </c>
    </row>
    <row r="83" spans="1:5" ht="18" customHeight="1" x14ac:dyDescent="0.25">
      <c r="A83" s="3"/>
      <c r="B83" s="3" t="s">
        <v>281</v>
      </c>
      <c r="C83" s="3" t="s">
        <v>282</v>
      </c>
      <c r="D83" s="3" t="s">
        <v>283</v>
      </c>
      <c r="E83" s="2" t="s">
        <v>203</v>
      </c>
    </row>
    <row r="84" spans="1:5" ht="18" customHeight="1" x14ac:dyDescent="0.25">
      <c r="A84" s="40"/>
      <c r="B84" s="40" t="s">
        <v>284</v>
      </c>
      <c r="C84" s="40" t="s">
        <v>285</v>
      </c>
      <c r="D84" s="40" t="s">
        <v>286</v>
      </c>
      <c r="E84" s="41" t="s">
        <v>227</v>
      </c>
    </row>
    <row r="85" spans="1:5" ht="18" customHeight="1" x14ac:dyDescent="0.25">
      <c r="A85" s="3"/>
      <c r="B85" s="3" t="s">
        <v>287</v>
      </c>
      <c r="C85" s="3" t="s">
        <v>288</v>
      </c>
      <c r="D85" s="3" t="s">
        <v>289</v>
      </c>
      <c r="E85" s="2" t="s">
        <v>227</v>
      </c>
    </row>
    <row r="86" spans="1:5" ht="18" customHeight="1" x14ac:dyDescent="0.25">
      <c r="A86" s="40"/>
      <c r="B86" s="40" t="s">
        <v>258</v>
      </c>
      <c r="C86" s="40" t="s">
        <v>290</v>
      </c>
      <c r="D86" s="40" t="s">
        <v>178</v>
      </c>
      <c r="E86" s="41" t="s">
        <v>260</v>
      </c>
    </row>
    <row r="87" spans="1:5" ht="18" customHeight="1" x14ac:dyDescent="0.25">
      <c r="A87" s="3"/>
      <c r="B87" s="3" t="s">
        <v>291</v>
      </c>
      <c r="C87" s="3" t="s">
        <v>292</v>
      </c>
      <c r="D87" s="3" t="s">
        <v>293</v>
      </c>
      <c r="E87" s="2" t="s">
        <v>227</v>
      </c>
    </row>
    <row r="89" spans="1:5" ht="27.95" customHeight="1" x14ac:dyDescent="0.25">
      <c r="A89" s="91" t="s">
        <v>294</v>
      </c>
      <c r="B89" s="68"/>
      <c r="C89" s="68"/>
      <c r="D89" s="68"/>
      <c r="E89" s="68"/>
    </row>
    <row r="90" spans="1:5" ht="18" customHeight="1" x14ac:dyDescent="0.25">
      <c r="A90" s="40"/>
      <c r="B90" s="40" t="s">
        <v>161</v>
      </c>
      <c r="C90" s="40" t="s">
        <v>295</v>
      </c>
      <c r="D90" s="40" t="s">
        <v>296</v>
      </c>
      <c r="E90" s="41" t="s">
        <v>203</v>
      </c>
    </row>
    <row r="91" spans="1:5" ht="18" customHeight="1" x14ac:dyDescent="0.25">
      <c r="A91" s="3"/>
      <c r="B91" s="3" t="s">
        <v>297</v>
      </c>
      <c r="C91" s="3" t="s">
        <v>298</v>
      </c>
      <c r="D91" s="3" t="s">
        <v>299</v>
      </c>
      <c r="E91" s="2" t="s">
        <v>200</v>
      </c>
    </row>
    <row r="92" spans="1:5" ht="18" customHeight="1" x14ac:dyDescent="0.25">
      <c r="A92" s="40"/>
      <c r="B92" s="40" t="s">
        <v>300</v>
      </c>
      <c r="C92" s="40" t="s">
        <v>178</v>
      </c>
      <c r="D92" s="40" t="s">
        <v>301</v>
      </c>
      <c r="E92" s="41" t="s">
        <v>203</v>
      </c>
    </row>
    <row r="93" spans="1:5" ht="18" customHeight="1" x14ac:dyDescent="0.25">
      <c r="A93" s="3"/>
      <c r="B93" s="3" t="s">
        <v>252</v>
      </c>
      <c r="C93" s="3" t="s">
        <v>302</v>
      </c>
      <c r="D93" s="3" t="s">
        <v>303</v>
      </c>
      <c r="E93" s="2" t="s">
        <v>203</v>
      </c>
    </row>
    <row r="94" spans="1:5" ht="18" customHeight="1" x14ac:dyDescent="0.25">
      <c r="A94" s="40"/>
      <c r="B94" s="40" t="s">
        <v>255</v>
      </c>
      <c r="C94" s="40" t="s">
        <v>304</v>
      </c>
      <c r="D94" s="40" t="s">
        <v>305</v>
      </c>
      <c r="E94" s="41" t="s">
        <v>203</v>
      </c>
    </row>
    <row r="95" spans="1:5" ht="18" customHeight="1" x14ac:dyDescent="0.25">
      <c r="A95" s="3"/>
      <c r="B95" s="3" t="s">
        <v>306</v>
      </c>
      <c r="C95" s="3" t="s">
        <v>307</v>
      </c>
      <c r="D95" s="3" t="s">
        <v>308</v>
      </c>
      <c r="E95" s="2" t="s">
        <v>227</v>
      </c>
    </row>
    <row r="96" spans="1:5" ht="18" customHeight="1" x14ac:dyDescent="0.25">
      <c r="A96" s="40"/>
      <c r="B96" s="40" t="s">
        <v>306</v>
      </c>
      <c r="C96" s="40" t="s">
        <v>309</v>
      </c>
      <c r="D96" s="40" t="s">
        <v>310</v>
      </c>
      <c r="E96" s="41" t="s">
        <v>260</v>
      </c>
    </row>
    <row r="97" spans="1:5" ht="18" customHeight="1" x14ac:dyDescent="0.25">
      <c r="A97" s="3"/>
      <c r="B97" s="3" t="s">
        <v>311</v>
      </c>
      <c r="C97" s="3" t="s">
        <v>312</v>
      </c>
      <c r="D97" s="3" t="s">
        <v>313</v>
      </c>
      <c r="E97" s="2" t="s">
        <v>227</v>
      </c>
    </row>
    <row r="98" spans="1:5" ht="18" customHeight="1" x14ac:dyDescent="0.25">
      <c r="A98" s="40"/>
      <c r="B98" s="40" t="s">
        <v>314</v>
      </c>
      <c r="C98" s="40" t="s">
        <v>315</v>
      </c>
      <c r="D98" s="40" t="s">
        <v>316</v>
      </c>
      <c r="E98" s="41" t="s">
        <v>227</v>
      </c>
    </row>
    <row r="99" spans="1:5" ht="18" customHeight="1" x14ac:dyDescent="0.25">
      <c r="A99" s="3"/>
      <c r="B99" s="3" t="s">
        <v>195</v>
      </c>
      <c r="C99" s="3" t="s">
        <v>178</v>
      </c>
      <c r="D99" s="3" t="s">
        <v>178</v>
      </c>
      <c r="E99" s="2" t="s">
        <v>208</v>
      </c>
    </row>
    <row r="100" spans="1:5" ht="18" customHeight="1" x14ac:dyDescent="0.25">
      <c r="A100" s="40"/>
      <c r="B100" s="40" t="s">
        <v>317</v>
      </c>
      <c r="C100" s="40" t="s">
        <v>318</v>
      </c>
      <c r="D100" s="40" t="s">
        <v>178</v>
      </c>
      <c r="E100" s="41" t="s">
        <v>319</v>
      </c>
    </row>
    <row r="101" spans="1:5" ht="18" customHeight="1" x14ac:dyDescent="0.25">
      <c r="A101" s="3"/>
      <c r="B101" s="3" t="s">
        <v>320</v>
      </c>
      <c r="C101" s="3" t="s">
        <v>178</v>
      </c>
      <c r="D101" s="3" t="s">
        <v>178</v>
      </c>
      <c r="E101" s="2" t="s">
        <v>321</v>
      </c>
    </row>
    <row r="102" spans="1:5" ht="18" customHeight="1" x14ac:dyDescent="0.25">
      <c r="A102" s="40"/>
      <c r="B102" s="40" t="s">
        <v>322</v>
      </c>
      <c r="C102" s="40" t="s">
        <v>178</v>
      </c>
      <c r="D102" s="40" t="s">
        <v>178</v>
      </c>
      <c r="E102" s="41" t="s">
        <v>323</v>
      </c>
    </row>
    <row r="104" spans="1:5" ht="27.95" customHeight="1" x14ac:dyDescent="0.25">
      <c r="A104" s="91" t="s">
        <v>324</v>
      </c>
      <c r="B104" s="68"/>
      <c r="C104" s="68"/>
      <c r="D104" s="68"/>
      <c r="E104" s="68"/>
    </row>
    <row r="105" spans="1:5" ht="18" customHeight="1" x14ac:dyDescent="0.25">
      <c r="A105" s="40"/>
      <c r="B105" s="40" t="s">
        <v>161</v>
      </c>
      <c r="C105" s="40" t="s">
        <v>325</v>
      </c>
      <c r="D105" s="40" t="s">
        <v>326</v>
      </c>
      <c r="E105" s="41" t="s">
        <v>200</v>
      </c>
    </row>
    <row r="106" spans="1:5" ht="18" customHeight="1" x14ac:dyDescent="0.25">
      <c r="A106" s="3"/>
      <c r="B106" s="3" t="s">
        <v>327</v>
      </c>
      <c r="C106" s="3" t="s">
        <v>328</v>
      </c>
      <c r="D106" s="3" t="s">
        <v>329</v>
      </c>
      <c r="E106" s="2" t="s">
        <v>227</v>
      </c>
    </row>
    <row r="107" spans="1:5" ht="18" customHeight="1" x14ac:dyDescent="0.25">
      <c r="A107" s="40"/>
      <c r="B107" s="40" t="s">
        <v>330</v>
      </c>
      <c r="C107" s="40" t="s">
        <v>331</v>
      </c>
      <c r="D107" s="40" t="s">
        <v>332</v>
      </c>
      <c r="E107" s="41" t="s">
        <v>227</v>
      </c>
    </row>
    <row r="108" spans="1:5" ht="18" customHeight="1" x14ac:dyDescent="0.25">
      <c r="A108" s="3"/>
      <c r="B108" s="3" t="s">
        <v>333</v>
      </c>
      <c r="C108" s="3" t="s">
        <v>334</v>
      </c>
      <c r="D108" s="3" t="s">
        <v>335</v>
      </c>
      <c r="E108" s="2" t="s">
        <v>227</v>
      </c>
    </row>
    <row r="109" spans="1:5" ht="18" customHeight="1" x14ac:dyDescent="0.25">
      <c r="A109" s="40"/>
      <c r="B109" s="40" t="s">
        <v>287</v>
      </c>
      <c r="C109" s="40" t="s">
        <v>336</v>
      </c>
      <c r="D109" s="40" t="s">
        <v>337</v>
      </c>
      <c r="E109" s="41" t="s">
        <v>227</v>
      </c>
    </row>
    <row r="110" spans="1:5" ht="18" customHeight="1" x14ac:dyDescent="0.25">
      <c r="A110" s="3"/>
      <c r="B110" s="3" t="s">
        <v>338</v>
      </c>
      <c r="C110" s="3" t="s">
        <v>339</v>
      </c>
      <c r="D110" s="3" t="s">
        <v>340</v>
      </c>
      <c r="E110" s="2" t="s">
        <v>227</v>
      </c>
    </row>
    <row r="111" spans="1:5" ht="18" customHeight="1" x14ac:dyDescent="0.25">
      <c r="A111" s="40"/>
      <c r="B111" s="40" t="s">
        <v>291</v>
      </c>
      <c r="C111" s="40" t="s">
        <v>341</v>
      </c>
      <c r="D111" s="40" t="s">
        <v>342</v>
      </c>
      <c r="E111" s="41" t="s">
        <v>227</v>
      </c>
    </row>
    <row r="112" spans="1:5" ht="18" customHeight="1" x14ac:dyDescent="0.25">
      <c r="A112" s="3"/>
      <c r="B112" s="3" t="s">
        <v>311</v>
      </c>
      <c r="C112" s="3" t="s">
        <v>343</v>
      </c>
      <c r="D112" s="3" t="s">
        <v>344</v>
      </c>
      <c r="E112" s="2" t="s">
        <v>227</v>
      </c>
    </row>
    <row r="113" spans="1:5" ht="18" customHeight="1" x14ac:dyDescent="0.25">
      <c r="A113" s="40"/>
      <c r="B113" s="40" t="s">
        <v>345</v>
      </c>
      <c r="C113" s="40" t="s">
        <v>346</v>
      </c>
      <c r="D113" s="40" t="s">
        <v>347</v>
      </c>
      <c r="E113" s="41" t="s">
        <v>227</v>
      </c>
    </row>
    <row r="114" spans="1:5" ht="18" customHeight="1" x14ac:dyDescent="0.25">
      <c r="A114" s="3"/>
      <c r="B114" s="3" t="s">
        <v>348</v>
      </c>
      <c r="C114" s="3" t="s">
        <v>178</v>
      </c>
      <c r="D114" s="3" t="s">
        <v>178</v>
      </c>
      <c r="E114" s="2" t="s">
        <v>349</v>
      </c>
    </row>
    <row r="115" spans="1:5" ht="18" customHeight="1" x14ac:dyDescent="0.25">
      <c r="A115" s="40"/>
      <c r="B115" s="40" t="s">
        <v>350</v>
      </c>
      <c r="C115" s="40" t="s">
        <v>178</v>
      </c>
      <c r="D115" s="40" t="s">
        <v>178</v>
      </c>
      <c r="E115" s="41" t="s">
        <v>351</v>
      </c>
    </row>
    <row r="116" spans="1:5" ht="18" customHeight="1" x14ac:dyDescent="0.25">
      <c r="A116" s="3"/>
      <c r="B116" s="3" t="s">
        <v>352</v>
      </c>
      <c r="C116" s="3" t="s">
        <v>178</v>
      </c>
      <c r="D116" s="3" t="s">
        <v>178</v>
      </c>
      <c r="E116" s="2" t="s">
        <v>353</v>
      </c>
    </row>
    <row r="117" spans="1:5" ht="18" customHeight="1" x14ac:dyDescent="0.25">
      <c r="A117" s="40"/>
      <c r="B117" s="40" t="s">
        <v>354</v>
      </c>
      <c r="C117" s="40" t="s">
        <v>178</v>
      </c>
      <c r="D117" s="40" t="s">
        <v>178</v>
      </c>
      <c r="E117" s="41" t="s">
        <v>355</v>
      </c>
    </row>
    <row r="118" spans="1:5" ht="18" customHeight="1" x14ac:dyDescent="0.25">
      <c r="A118" s="3"/>
      <c r="B118" s="3" t="s">
        <v>242</v>
      </c>
      <c r="C118" s="3" t="s">
        <v>178</v>
      </c>
      <c r="D118" s="3" t="s">
        <v>178</v>
      </c>
      <c r="E118" s="2" t="s">
        <v>243</v>
      </c>
    </row>
    <row r="120" spans="1:5" ht="27.95" customHeight="1" x14ac:dyDescent="0.25">
      <c r="A120" s="91" t="s">
        <v>356</v>
      </c>
      <c r="B120" s="68"/>
      <c r="C120" s="68"/>
      <c r="D120" s="68"/>
      <c r="E120" s="68"/>
    </row>
    <row r="121" spans="1:5" ht="18" customHeight="1" x14ac:dyDescent="0.25">
      <c r="A121" s="40"/>
      <c r="B121" s="40" t="s">
        <v>161</v>
      </c>
      <c r="C121" s="40" t="s">
        <v>295</v>
      </c>
      <c r="D121" s="40" t="s">
        <v>357</v>
      </c>
      <c r="E121" s="41" t="s">
        <v>227</v>
      </c>
    </row>
    <row r="122" spans="1:5" ht="18" customHeight="1" x14ac:dyDescent="0.25">
      <c r="A122" s="3"/>
      <c r="B122" s="3" t="s">
        <v>297</v>
      </c>
      <c r="C122" s="3" t="s">
        <v>298</v>
      </c>
      <c r="D122" s="3" t="s">
        <v>299</v>
      </c>
      <c r="E122" s="2" t="s">
        <v>260</v>
      </c>
    </row>
    <row r="123" spans="1:5" ht="18" customHeight="1" x14ac:dyDescent="0.25">
      <c r="A123" s="40"/>
      <c r="B123" s="40" t="s">
        <v>300</v>
      </c>
      <c r="C123" s="40" t="s">
        <v>178</v>
      </c>
      <c r="D123" s="40" t="s">
        <v>301</v>
      </c>
      <c r="E123" s="41" t="s">
        <v>227</v>
      </c>
    </row>
    <row r="124" spans="1:5" ht="18" customHeight="1" x14ac:dyDescent="0.25">
      <c r="A124" s="3"/>
      <c r="B124" s="3" t="s">
        <v>252</v>
      </c>
      <c r="C124" s="3" t="s">
        <v>358</v>
      </c>
      <c r="D124" s="3" t="s">
        <v>359</v>
      </c>
      <c r="E124" s="2" t="s">
        <v>227</v>
      </c>
    </row>
    <row r="125" spans="1:5" ht="18" customHeight="1" x14ac:dyDescent="0.25">
      <c r="A125" s="40"/>
      <c r="B125" s="40" t="s">
        <v>255</v>
      </c>
      <c r="C125" s="40" t="s">
        <v>360</v>
      </c>
      <c r="D125" s="40" t="s">
        <v>361</v>
      </c>
      <c r="E125" s="41" t="s">
        <v>227</v>
      </c>
    </row>
    <row r="126" spans="1:5" ht="18" customHeight="1" x14ac:dyDescent="0.25">
      <c r="A126" s="3"/>
      <c r="B126" s="3" t="s">
        <v>195</v>
      </c>
      <c r="C126" s="3" t="s">
        <v>178</v>
      </c>
      <c r="D126" s="3" t="s">
        <v>178</v>
      </c>
      <c r="E126" s="2" t="s">
        <v>362</v>
      </c>
    </row>
    <row r="127" spans="1:5" ht="18" customHeight="1" x14ac:dyDescent="0.25">
      <c r="A127" s="40"/>
      <c r="B127" s="40" t="s">
        <v>320</v>
      </c>
      <c r="C127" s="40" t="s">
        <v>178</v>
      </c>
      <c r="D127" s="40" t="s">
        <v>178</v>
      </c>
      <c r="E127" s="41" t="s">
        <v>363</v>
      </c>
    </row>
    <row r="128" spans="1:5" ht="18" customHeight="1" x14ac:dyDescent="0.25">
      <c r="A128" s="3"/>
      <c r="B128" s="3" t="s">
        <v>322</v>
      </c>
      <c r="C128" s="3" t="s">
        <v>178</v>
      </c>
      <c r="D128" s="3" t="s">
        <v>178</v>
      </c>
      <c r="E128" s="2" t="s">
        <v>364</v>
      </c>
    </row>
    <row r="130" spans="1:5" ht="27.95" customHeight="1" x14ac:dyDescent="0.25">
      <c r="A130" s="91" t="s">
        <v>365</v>
      </c>
      <c r="B130" s="68"/>
      <c r="C130" s="68"/>
      <c r="D130" s="68"/>
      <c r="E130" s="68"/>
    </row>
    <row r="131" spans="1:5" ht="18" customHeight="1" x14ac:dyDescent="0.25">
      <c r="A131" s="40"/>
      <c r="B131" s="40" t="s">
        <v>252</v>
      </c>
      <c r="C131" s="40" t="s">
        <v>366</v>
      </c>
      <c r="D131" s="40" t="s">
        <v>367</v>
      </c>
      <c r="E131" s="41" t="s">
        <v>203</v>
      </c>
    </row>
    <row r="132" spans="1:5" ht="18" customHeight="1" x14ac:dyDescent="0.25">
      <c r="A132" s="3"/>
      <c r="B132" s="3" t="s">
        <v>255</v>
      </c>
      <c r="C132" s="3" t="s">
        <v>368</v>
      </c>
      <c r="D132" s="3" t="s">
        <v>369</v>
      </c>
      <c r="E132" s="2" t="s">
        <v>203</v>
      </c>
    </row>
    <row r="133" spans="1:5" ht="18" customHeight="1" x14ac:dyDescent="0.25">
      <c r="A133" s="40"/>
      <c r="B133" s="40" t="s">
        <v>219</v>
      </c>
      <c r="C133" s="40" t="s">
        <v>370</v>
      </c>
      <c r="D133" s="40" t="s">
        <v>371</v>
      </c>
      <c r="E133" s="41" t="s">
        <v>200</v>
      </c>
    </row>
    <row r="134" spans="1:5" ht="18" customHeight="1" x14ac:dyDescent="0.25">
      <c r="A134" s="3"/>
      <c r="B134" s="3" t="s">
        <v>161</v>
      </c>
      <c r="C134" s="3" t="s">
        <v>372</v>
      </c>
      <c r="D134" s="3" t="s">
        <v>373</v>
      </c>
      <c r="E134" s="2" t="s">
        <v>200</v>
      </c>
    </row>
    <row r="135" spans="1:5" ht="18" customHeight="1" x14ac:dyDescent="0.25">
      <c r="A135" s="40"/>
      <c r="B135" s="40" t="s">
        <v>374</v>
      </c>
      <c r="C135" s="40" t="s">
        <v>375</v>
      </c>
      <c r="D135" s="40" t="s">
        <v>376</v>
      </c>
      <c r="E135" s="41" t="s">
        <v>203</v>
      </c>
    </row>
    <row r="136" spans="1:5" ht="18" customHeight="1" x14ac:dyDescent="0.25">
      <c r="A136" s="3"/>
      <c r="B136" s="3" t="s">
        <v>377</v>
      </c>
      <c r="C136" s="3" t="s">
        <v>378</v>
      </c>
      <c r="D136" s="3" t="s">
        <v>379</v>
      </c>
      <c r="E136" s="2" t="s">
        <v>203</v>
      </c>
    </row>
    <row r="137" spans="1:5" ht="18" customHeight="1" x14ac:dyDescent="0.25">
      <c r="A137" s="40"/>
      <c r="B137" s="40" t="s">
        <v>380</v>
      </c>
      <c r="C137" s="40" t="s">
        <v>292</v>
      </c>
      <c r="D137" s="40" t="s">
        <v>293</v>
      </c>
      <c r="E137" s="41" t="s">
        <v>203</v>
      </c>
    </row>
    <row r="138" spans="1:5" ht="18" customHeight="1" x14ac:dyDescent="0.25">
      <c r="A138" s="3"/>
      <c r="B138" s="3" t="s">
        <v>381</v>
      </c>
      <c r="C138" s="3" t="s">
        <v>382</v>
      </c>
      <c r="D138" s="3" t="s">
        <v>383</v>
      </c>
      <c r="E138" s="2" t="s">
        <v>200</v>
      </c>
    </row>
    <row r="139" spans="1:5" ht="18" customHeight="1" x14ac:dyDescent="0.25">
      <c r="A139" s="40"/>
      <c r="B139" s="40" t="s">
        <v>384</v>
      </c>
      <c r="C139" s="40" t="s">
        <v>178</v>
      </c>
      <c r="D139" s="40" t="s">
        <v>178</v>
      </c>
      <c r="E139" s="41" t="s">
        <v>385</v>
      </c>
    </row>
  </sheetData>
  <mergeCells count="14">
    <mergeCell ref="A120:E120"/>
    <mergeCell ref="A130:E130"/>
    <mergeCell ref="A65:E65"/>
    <mergeCell ref="A104:E104"/>
    <mergeCell ref="A71:E71"/>
    <mergeCell ref="A1:E1"/>
    <mergeCell ref="A89:E89"/>
    <mergeCell ref="A79:E79"/>
    <mergeCell ref="A53:E53"/>
    <mergeCell ref="A12:E12"/>
    <mergeCell ref="A4:E4"/>
    <mergeCell ref="A29:E29"/>
    <mergeCell ref="A20:E20"/>
    <mergeCell ref="A38:E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ТО Июнь 2026 Николаевка</vt:lpstr>
      <vt:lpstr>Артикулы по моделям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Baurzhan</cp:lastModifiedBy>
  <dcterms:created xsi:type="dcterms:W3CDTF">2026-05-15T09:31:08Z</dcterms:created>
  <dcterms:modified xsi:type="dcterms:W3CDTF">2026-05-19T10:50:51Z</dcterms:modified>
</cp:coreProperties>
</file>