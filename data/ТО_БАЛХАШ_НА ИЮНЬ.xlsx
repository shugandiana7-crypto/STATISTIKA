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00" windowHeight="6045"/>
  </bookViews>
  <sheets>
    <sheet name="ТО Июнь 2026 БАЛХАШ" sheetId="1" r:id="rId1"/>
    <sheet name="Артикулы по моделям" sheetId="2" r:id="rId2"/>
  </sheets>
  <calcPr calcId="162913"/>
</workbook>
</file>

<file path=xl/calcChain.xml><?xml version="1.0" encoding="utf-8"?>
<calcChain xmlns="http://schemas.openxmlformats.org/spreadsheetml/2006/main">
  <c r="J63" i="1" l="1"/>
  <c r="I63" i="1"/>
  <c r="H63" i="1"/>
  <c r="G63" i="1"/>
  <c r="F63" i="1"/>
  <c r="J59" i="1"/>
  <c r="I59" i="1"/>
  <c r="H59" i="1"/>
  <c r="G59" i="1"/>
  <c r="F59" i="1"/>
  <c r="J39" i="1"/>
  <c r="I39" i="1"/>
  <c r="H39" i="1"/>
  <c r="G39" i="1"/>
  <c r="F39" i="1"/>
  <c r="J36" i="1"/>
  <c r="I36" i="1"/>
  <c r="H36" i="1"/>
  <c r="G36" i="1"/>
  <c r="F36" i="1"/>
  <c r="J33" i="1"/>
  <c r="I33" i="1"/>
  <c r="H33" i="1"/>
  <c r="G33" i="1"/>
  <c r="F33" i="1"/>
  <c r="J27" i="1"/>
  <c r="I27" i="1"/>
  <c r="H27" i="1"/>
  <c r="G27" i="1"/>
  <c r="F27" i="1"/>
  <c r="J23" i="1"/>
  <c r="I23" i="1"/>
  <c r="H23" i="1"/>
  <c r="G23" i="1"/>
  <c r="F23" i="1"/>
  <c r="J18" i="1"/>
  <c r="I18" i="1"/>
  <c r="H18" i="1"/>
  <c r="G18" i="1"/>
  <c r="F18" i="1"/>
  <c r="J15" i="1"/>
  <c r="I15" i="1"/>
  <c r="H15" i="1"/>
  <c r="G15" i="1"/>
  <c r="F15" i="1"/>
  <c r="J12" i="1"/>
  <c r="I12" i="1"/>
  <c r="H12" i="1"/>
  <c r="G12" i="1"/>
  <c r="F12" i="1"/>
  <c r="J9" i="1"/>
  <c r="I9" i="1"/>
  <c r="H9" i="1"/>
  <c r="G9" i="1"/>
  <c r="F9" i="1"/>
</calcChain>
</file>

<file path=xl/sharedStrings.xml><?xml version="1.0" encoding="utf-8"?>
<sst xmlns="http://schemas.openxmlformats.org/spreadsheetml/2006/main" count="658" uniqueCount="325">
  <si>
    <t>ПОТРЕБНОСТЬ В ФИЛЬТРАХ И СМАЗОЧНЫХ МАТЕРИАЛАХ ПО УЧАСТКУ БАЛХАШ НА ИЮНЬ 2026 ГОДА</t>
  </si>
  <si>
    <t>Составлено на основании Годового графика ТО 2026 г. и карт технического обслуживания</t>
  </si>
  <si>
    <t>№
п/п</t>
  </si>
  <si>
    <t>Гараж.
№</t>
  </si>
  <si>
    <t>Полное наименование
машины</t>
  </si>
  <si>
    <t>Вид ТО
в июне</t>
  </si>
  <si>
    <t>Дата ТО
в июне</t>
  </si>
  <si>
    <t>Фильтр
масляный
(шт.)</t>
  </si>
  <si>
    <t>Фильтр
топливный
(шт.)</t>
  </si>
  <si>
    <t>Фильтр
воздушный
(шт.)</t>
  </si>
  <si>
    <t>Фильтр
гидравл.
(шт.)</t>
  </si>
  <si>
    <t>Масло
моторное
(л.)</t>
  </si>
  <si>
    <t>Масло
трансм./
гидравл.(л.)</t>
  </si>
  <si>
    <t>Смазка
Литол
(кг.)</t>
  </si>
  <si>
    <t>Антифриз
(л.)</t>
  </si>
  <si>
    <t>Прочие
фильтры
(шт.)</t>
  </si>
  <si>
    <t>Артикулы фильтров (основные)</t>
  </si>
  <si>
    <t>Фронтальный погрузчик SDLG 933F</t>
  </si>
  <si>
    <t>ТО-250</t>
  </si>
  <si>
    <t>03.06.26</t>
  </si>
  <si>
    <t>Масл: LF17356; Топл: FF5052/FS1280; Возд: KW2440; Гидр: HF6555</t>
  </si>
  <si>
    <t>ТО-500</t>
  </si>
  <si>
    <t>15.06.26</t>
  </si>
  <si>
    <t>28.06.26</t>
  </si>
  <si>
    <t>ИТОГО по модели: Фронтальный погрузчик SDLG 933F</t>
  </si>
  <si>
    <t>МОДЕЛЬ 2: Бульдозер SD-22 (1 ед.)</t>
  </si>
  <si>
    <t>Бульдозер SD-22</t>
  </si>
  <si>
    <t>24.06.26</t>
  </si>
  <si>
    <t>Масл: JX0818; Топл: FS1280/P550778; Возд: AF25557</t>
  </si>
  <si>
    <t>ИТОГО по модели: Бульдозер SD-22</t>
  </si>
  <si>
    <t>МОДЕЛЬ 3: Бульдозер SD-23 (1 ед.)</t>
  </si>
  <si>
    <t>-</t>
  </si>
  <si>
    <t>Бульдозер SD-23</t>
  </si>
  <si>
    <t>ТО-1000</t>
  </si>
  <si>
    <t>06.06.26</t>
  </si>
  <si>
    <t>Масл: LF9009; Топл: FS1280/P550778; Возд: AF25557</t>
  </si>
  <si>
    <t>ИТОГО по модели: Бульдозер SD-23</t>
  </si>
  <si>
    <t>МОДЕЛЬ 4: Бульдозер Komatsu D275 (1 ед.)</t>
  </si>
  <si>
    <t>Бульдозер Komatsu D275</t>
  </si>
  <si>
    <t>22.06.26</t>
  </si>
  <si>
    <t>Масл: 6002111231; Топл: 6003193610; Возд: AF26114</t>
  </si>
  <si>
    <t>ИТОГО по модели: Бульдозер Komatsu D275</t>
  </si>
  <si>
    <t>Автогрейдер SANY STG210C-8S</t>
  </si>
  <si>
    <t>02.06.26</t>
  </si>
  <si>
    <t>Масл: LF9009; Топл: FF5052/P550440/FS1280</t>
  </si>
  <si>
    <t>27.06.26</t>
  </si>
  <si>
    <t>ИТОГО по модели: Автогрейдер SANY STG210C-8S</t>
  </si>
  <si>
    <t>Каток дорожный SANY SSR200C-812</t>
  </si>
  <si>
    <t>07.06.26</t>
  </si>
  <si>
    <t>Масл: LF16015; Топл: FF5052; Возд: AF25557</t>
  </si>
  <si>
    <t>19.06.26</t>
  </si>
  <si>
    <t>ИТОГО по модели: Каток дорожный SANY SSR200C-812</t>
  </si>
  <si>
    <t>Экскаватор XCMG XE1350</t>
  </si>
  <si>
    <t>08.06.26</t>
  </si>
  <si>
    <t>Масл: 860125403; Топл: 860147023; Возд: 800151217; Гидр: 803164329</t>
  </si>
  <si>
    <t>20.06.26</t>
  </si>
  <si>
    <t>08.06.27</t>
  </si>
  <si>
    <t>20.06.27</t>
  </si>
  <si>
    <t>ИТОГО по модели: Экскаватор XCMG XE1350</t>
  </si>
  <si>
    <t>МОДЕЛЬ 8: Экскаватор Volvo EC700 (1 ед.)</t>
  </si>
  <si>
    <t>Экскаватор Volvo EC700</t>
  </si>
  <si>
    <t>Масл: VOE21707132; Топл: VOE20998367; Возд: VOE11110532</t>
  </si>
  <si>
    <t>ИТОГО по модели: Экскаватор Volvo EC700</t>
  </si>
  <si>
    <t>МОДЕЛЬ 9: Экскаватор HYUNDAI R520LC-9S (1 ед.)</t>
  </si>
  <si>
    <t>Экскаватор HYUNDAI R520LC-9S</t>
  </si>
  <si>
    <t>21.06.26</t>
  </si>
  <si>
    <t>Масл: 11NA-70110; Топл: 11E1-70010; Возд: 11N8-22140</t>
  </si>
  <si>
    <t>ИТОГО по модели: Экскаватор HYUNDAI R520LC-9S</t>
  </si>
  <si>
    <t>04.06.26</t>
  </si>
  <si>
    <t>Масл: 612630010239; Топл: P550778/P550529; Возд: 3560</t>
  </si>
  <si>
    <t>16.06.26</t>
  </si>
  <si>
    <t>29.06.26</t>
  </si>
  <si>
    <t>11.06.26</t>
  </si>
  <si>
    <t>ТО-2000</t>
  </si>
  <si>
    <t>18.06.26</t>
  </si>
  <si>
    <t>12.06.26</t>
  </si>
  <si>
    <t>01.06.26</t>
  </si>
  <si>
    <t>13.06.26</t>
  </si>
  <si>
    <t>26.06.26</t>
  </si>
  <si>
    <t>23.06.26</t>
  </si>
  <si>
    <t>09.06.26</t>
  </si>
  <si>
    <t>10.06.26</t>
  </si>
  <si>
    <t>Масл: JX1016; Топл: P550778/P550529; Возд: 3560</t>
  </si>
  <si>
    <t>ДЕТАЛЬНЫЙ ПЕРЕЧЕНЬ АРТИКУЛОВ ФИЛЬТРОВ ПО МОДЕЛЯМ ТЕХНИКИ — УЧАСТОК НИКОЛАЕВКА</t>
  </si>
  <si>
    <t>Модель техники</t>
  </si>
  <si>
    <t>Наименование фильтра/материала</t>
  </si>
  <si>
    <t>Основной артикул</t>
  </si>
  <si>
    <t>Кросс-коды (аналоги)</t>
  </si>
  <si>
    <t>Кол-во за ТО</t>
  </si>
  <si>
    <t>Погрузчик SDLG LG975F
(гар.404, ТО-400 26.06 + ТО-800 06.06)</t>
  </si>
  <si>
    <t>Масляный фильтр двигателя</t>
  </si>
  <si>
    <t>4110003316001</t>
  </si>
  <si>
    <t>P553771 / W962 / LF4053 / LF3413</t>
  </si>
  <si>
    <t>2 шт. × 2ТО = 4 шт.</t>
  </si>
  <si>
    <t>Топливный фильтр-сепаратор</t>
  </si>
  <si>
    <t>4110002989004</t>
  </si>
  <si>
    <t>P550778</t>
  </si>
  <si>
    <t>1 шт. × 2ТО = 2 шт.</t>
  </si>
  <si>
    <t>Топливный фильтр грубой очистки</t>
  </si>
  <si>
    <t>4110003073003</t>
  </si>
  <si>
    <t>Топливный фильтр тонкой очистки</t>
  </si>
  <si>
    <t>4110003268003</t>
  </si>
  <si>
    <t>P550529</t>
  </si>
  <si>
    <t>Воздушный фильтр</t>
  </si>
  <si>
    <t>4110001755023</t>
  </si>
  <si>
    <t>KW2440 / 612600110540 / EKO01-356</t>
  </si>
  <si>
    <t>Масло моторное CH-4 15W/40</t>
  </si>
  <si>
    <t>—</t>
  </si>
  <si>
    <t>28 л × 2 = 56 л</t>
  </si>
  <si>
    <t>Автогрейдер SANY STG210C-8S
(гар.401 ТО-1000 09.06; гар.402 ТО-1000 08.06; гар.408 ТО-1000 06.06 + ТО-250 19.06)</t>
  </si>
  <si>
    <t>LF9009</t>
  </si>
  <si>
    <t>1 шт. × 5 ТО = 5 шт.</t>
  </si>
  <si>
    <t>FF5052</t>
  </si>
  <si>
    <t>P550440</t>
  </si>
  <si>
    <t>Топливный фильтр-водоотделитель</t>
  </si>
  <si>
    <t>FS1280</t>
  </si>
  <si>
    <t>2 шт. × 5 ТО = 10 шт.</t>
  </si>
  <si>
    <t>Топливный фильтр грубой очистки (со стаканом)</t>
  </si>
  <si>
    <t>1003697990A</t>
  </si>
  <si>
    <t>612600081335 / p550778</t>
  </si>
  <si>
    <t>Воздушный фильтр (при ТО-1000)</t>
  </si>
  <si>
    <t>60207264</t>
  </si>
  <si>
    <t>PU2851</t>
  </si>
  <si>
    <t>1 шт. (уточнить)</t>
  </si>
  <si>
    <t>Масло моторное Rimula 10W40</t>
  </si>
  <si>
    <t>24 л × 5 ТО = 120 л</t>
  </si>
  <si>
    <t>Самосвал XCMG XGA5902D3T
(гар.101-113, 11 ед. с ТО в июне)</t>
  </si>
  <si>
    <t>612630010239</t>
  </si>
  <si>
    <t>JX1016 / 1000428205A</t>
  </si>
  <si>
    <t>2 шт./ТО</t>
  </si>
  <si>
    <t>1000053555 / 612630080087</t>
  </si>
  <si>
    <t>p550529 / F026402017</t>
  </si>
  <si>
    <t>1 шт./ТО</t>
  </si>
  <si>
    <t>1000424916</t>
  </si>
  <si>
    <t>p550778 / F026402038</t>
  </si>
  <si>
    <t>3 шт./ТО</t>
  </si>
  <si>
    <t>3560</t>
  </si>
  <si>
    <t>38 л/ТО</t>
  </si>
  <si>
    <t>Масло транс. 80w90GL4 (при ТО-500/1000/2000)</t>
  </si>
  <si>
    <t>40 л/ТО</t>
  </si>
  <si>
    <t>Масло транс. 80w90GL5 (при ТО-2000)</t>
  </si>
  <si>
    <t>40 л/ТО-2000</t>
  </si>
  <si>
    <t>Самосвал XCMG XG105
(гар.114-120, 137-149, 19 ед. с ТО в июне)</t>
  </si>
  <si>
    <t>Карьерный самосвал SANY SKT115S
(гар.121-126, 6 ед. с ТО в июне)</t>
  </si>
  <si>
    <t>60327523</t>
  </si>
  <si>
    <t>JX1016 / 1000428205 / H807W / VG1246070031 / 612630010239</t>
  </si>
  <si>
    <t>1000053555</t>
  </si>
  <si>
    <t>612630080087 / p550529</t>
  </si>
  <si>
    <t>Топливный фильтр</t>
  </si>
  <si>
    <t>1000053557</t>
  </si>
  <si>
    <t>P550778 / 1000424916</t>
  </si>
  <si>
    <t>160603020024A</t>
  </si>
  <si>
    <t>1000053558 / 1000422381 / P550778</t>
  </si>
  <si>
    <t>Воздушный фильтр наружный (при ТО-500/1000/2000)</t>
  </si>
  <si>
    <t>160602030016A</t>
  </si>
  <si>
    <t>ST40362AB / GLQ009212467</t>
  </si>
  <si>
    <t>1 шт.</t>
  </si>
  <si>
    <t>Воздушный фильтр внутренний (при ТО-500/1000/2000)</t>
  </si>
  <si>
    <t>160602020020A</t>
  </si>
  <si>
    <t>B222100000427</t>
  </si>
  <si>
    <t>Фильтр гидравлический (при ТО-1000/2000)</t>
  </si>
  <si>
    <t>60277890</t>
  </si>
  <si>
    <t>60101256</t>
  </si>
  <si>
    <t>Фильтр крышка гидробака (при ТО-2000)</t>
  </si>
  <si>
    <t>24001922</t>
  </si>
  <si>
    <t>Масло моторное Rimula 15W40</t>
  </si>
  <si>
    <t>28 л/ТО</t>
  </si>
  <si>
    <t>Масло в КПП (при ТО-2000)</t>
  </si>
  <si>
    <t>52 л</t>
  </si>
  <si>
    <t>Масло гидравлическое SHANTUI HM46 (при ТО-2000)</t>
  </si>
  <si>
    <t>230 л</t>
  </si>
  <si>
    <t>Антифриз (при ТО-2000)</t>
  </si>
  <si>
    <t>55 л</t>
  </si>
  <si>
    <t>Бульдозер гусеничный SEM832F
(гар.305 ТО-2000 24.06; гар.307 ТО-500 19.06; гар.308 ТО-2000 15.06)</t>
  </si>
  <si>
    <t>1R1808</t>
  </si>
  <si>
    <t>P551808 / WD13145/1</t>
  </si>
  <si>
    <t>Топливный фильтр основной</t>
  </si>
  <si>
    <t>4238524</t>
  </si>
  <si>
    <t>P550900</t>
  </si>
  <si>
    <t>1R0749</t>
  </si>
  <si>
    <t>P551311</t>
  </si>
  <si>
    <t>Воздушный фильтр наружный</t>
  </si>
  <si>
    <t>2453818</t>
  </si>
  <si>
    <t>P782106</t>
  </si>
  <si>
    <t>Воздушный фильтр внутренний</t>
  </si>
  <si>
    <t>2453819</t>
  </si>
  <si>
    <t>P782109</t>
  </si>
  <si>
    <t>Гидравлический фильтр (при ТО-2000)</t>
  </si>
  <si>
    <t>6154176</t>
  </si>
  <si>
    <t>2 шт.</t>
  </si>
  <si>
    <t>6079927</t>
  </si>
  <si>
    <t>Масло моторное</t>
  </si>
  <si>
    <t>Масло гидравлическое (при ТО-2000)</t>
  </si>
  <si>
    <t>200 л</t>
  </si>
  <si>
    <t>Масло трансмиссионное (при ТО-2000)</t>
  </si>
  <si>
    <t>80 л</t>
  </si>
  <si>
    <t>Бульдозер гусеничный SEM822D
(гар.304, ТО-2000 08.06)</t>
  </si>
  <si>
    <t>40 л</t>
  </si>
  <si>
    <t>Бульдозер гусеничный SEM832D
(гар.310, ТО-500 06.06 + ТО-250 19.06)</t>
  </si>
  <si>
    <t>Воздушный фильтр наружный (при ТО-500)</t>
  </si>
  <si>
    <t>Воздушный фильтр внутренний (при ТО-500)</t>
  </si>
  <si>
    <t>40 л × 2 = 80 л</t>
  </si>
  <si>
    <t>Экскаватор гусеничный XCMG XE800D
(гар.208 ТО-2000 08.06; гар.209 ТО-400 15.06)</t>
  </si>
  <si>
    <t>803442626</t>
  </si>
  <si>
    <t>LF691A / WD13145/1 / p551808</t>
  </si>
  <si>
    <t>803442627</t>
  </si>
  <si>
    <t>P551311 / Perkins 4650996</t>
  </si>
  <si>
    <t>Топливный фильтр-сепаратор (1)</t>
  </si>
  <si>
    <t>803442628</t>
  </si>
  <si>
    <t>P551110 / sn55444 / Perkins 4587259</t>
  </si>
  <si>
    <t>Топливный фильтр-сепаратор (2)</t>
  </si>
  <si>
    <t>803445295</t>
  </si>
  <si>
    <t>p502643 / Fleetguard FS36230</t>
  </si>
  <si>
    <t>Воздушный фильтр внешний (при ТО-2000)</t>
  </si>
  <si>
    <t>800105256</t>
  </si>
  <si>
    <t>A8078 / P781098</t>
  </si>
  <si>
    <t>Воздушный фильтр внутренний (при ТО-2000)</t>
  </si>
  <si>
    <t>800105257</t>
  </si>
  <si>
    <t>P781102</t>
  </si>
  <si>
    <t>803436529 / 860176640</t>
  </si>
  <si>
    <t>Гидравлический фильтр пилотный (при ТО-2000)</t>
  </si>
  <si>
    <t>803436460</t>
  </si>
  <si>
    <t>P573481</t>
  </si>
  <si>
    <t>Экскаватор гусеничный Hyundai R520LC-9S
(гар.203 ТО-500 10.06; гар.205 ТО-1600 05.06 + ТО-2000 25.06)</t>
  </si>
  <si>
    <t>11NB-70110</t>
  </si>
  <si>
    <t>LF9000 / LF9001 / LF14000NN / P559000</t>
  </si>
  <si>
    <t>Топливный фильтр (2 шт.)</t>
  </si>
  <si>
    <t>11NB-70010</t>
  </si>
  <si>
    <t>FS1000 / P551000</t>
  </si>
  <si>
    <t>Топливный фильтр без стакана</t>
  </si>
  <si>
    <t>P551026</t>
  </si>
  <si>
    <t>11Q8-20130</t>
  </si>
  <si>
    <t>P777868</t>
  </si>
  <si>
    <t>11Q8-20120</t>
  </si>
  <si>
    <t>P777869</t>
  </si>
  <si>
    <t>Фильтр гидравлический (при ТО-2000)</t>
  </si>
  <si>
    <t>E131-0214</t>
  </si>
  <si>
    <t>H2801</t>
  </si>
  <si>
    <t>31E9-1019</t>
  </si>
  <si>
    <t>EF01471 / R010110</t>
  </si>
  <si>
    <t>Фильтр пилотный (при ТО-2000)</t>
  </si>
  <si>
    <t>31Q6-20340</t>
  </si>
  <si>
    <t>HD55/1 / P165136</t>
  </si>
  <si>
    <t>Фильтр возвратный (при ТО-2000)</t>
  </si>
  <si>
    <t>31N8-01360</t>
  </si>
  <si>
    <t>31E9-0126 / HF28751 / P766756</t>
  </si>
  <si>
    <t>Масло гидравлическое ISO46 (при ТО-2000)</t>
  </si>
  <si>
    <t>Pemco ISO46</t>
  </si>
  <si>
    <t>280 л</t>
  </si>
  <si>
    <t>Масло трансмиссионное 80w90GL5</t>
  </si>
  <si>
    <t>5 л/ТО + 32 л (при ТО-2000)</t>
  </si>
  <si>
    <t>Смазка Литол-24</t>
  </si>
  <si>
    <t>3 кг/ТО</t>
  </si>
  <si>
    <t>Экскаватор гусеничный Hitachi ZX470LC-5G
(гар.204, ТО-400 05.06 + ТО-2000 25.06)</t>
  </si>
  <si>
    <t>4696643</t>
  </si>
  <si>
    <t>YA00058283 / P551381</t>
  </si>
  <si>
    <t>Топливный фильтр грубой очистки (при ТО-2000)</t>
  </si>
  <si>
    <t>4326739</t>
  </si>
  <si>
    <t>4616544 / P550391</t>
  </si>
  <si>
    <t>Топливный фильтр тонкой очистки (при ТО-2000)</t>
  </si>
  <si>
    <t>4192631</t>
  </si>
  <si>
    <t>L4192631 / P557440 / P553854</t>
  </si>
  <si>
    <t>Воздушный фильтр наружный (при ТО-2000)</t>
  </si>
  <si>
    <t>4466269</t>
  </si>
  <si>
    <t>L4466269 / P777868</t>
  </si>
  <si>
    <t>4466268</t>
  </si>
  <si>
    <t>L4466268 / P777869</t>
  </si>
  <si>
    <t>Гидравлический фильтр основной (при ТО-2000)</t>
  </si>
  <si>
    <t>4630331</t>
  </si>
  <si>
    <t>4654745 / P762921</t>
  </si>
  <si>
    <t>4363399</t>
  </si>
  <si>
    <t>P555570</t>
  </si>
  <si>
    <t>4630525</t>
  </si>
  <si>
    <t>HF35516</t>
  </si>
  <si>
    <t>Сапун гидробака (при ТО-2000)</t>
  </si>
  <si>
    <t>4437838</t>
  </si>
  <si>
    <t>P502563</t>
  </si>
  <si>
    <t>Масло моторное SHELL RIMULA R5E 10W40</t>
  </si>
  <si>
    <t>57 л × 2ТО = 114 л</t>
  </si>
  <si>
    <t>Масло поворотный редуктор SPIRAX S3G 80W-90 (ТО-2000)</t>
  </si>
  <si>
    <t>13 л</t>
  </si>
  <si>
    <t>Масло трансмиссионное SPIRAX S3G 80W-90 (ТО-2000)</t>
  </si>
  <si>
    <t>22 л</t>
  </si>
  <si>
    <t>Масло редуктор гидронасосов SPIRAX S3G 80W-90 (ТО-2000)</t>
  </si>
  <si>
    <t>2 л</t>
  </si>
  <si>
    <t>Экскаватор гусеничный Hyundai R450LC-7
(гар.206, ТО-1600 20.06)</t>
  </si>
  <si>
    <t>LF9000 / LF9001 / P559000</t>
  </si>
  <si>
    <t>11NB-20120</t>
  </si>
  <si>
    <t>A28770 / AF4729 / P181183</t>
  </si>
  <si>
    <t>11NB-20130</t>
  </si>
  <si>
    <t>AF4734 / P520582</t>
  </si>
  <si>
    <t>38 л</t>
  </si>
  <si>
    <t>5 л + 32 л = 37 л</t>
  </si>
  <si>
    <t>3 кг</t>
  </si>
  <si>
    <t>Экскаватор гусеничный XCMG XE1350
(гар.214, ТО-250 04.06 + ТО-1000 16.06 + ТО-250 29.06)</t>
  </si>
  <si>
    <t>800173554</t>
  </si>
  <si>
    <t>800105256 / P781098</t>
  </si>
  <si>
    <t>800173553</t>
  </si>
  <si>
    <t>800105257 / P781102</t>
  </si>
  <si>
    <t>803161448</t>
  </si>
  <si>
    <t>FS1006 / P552006</t>
  </si>
  <si>
    <t>800141634</t>
  </si>
  <si>
    <t>LF670 / LF9325 / DBL7670</t>
  </si>
  <si>
    <t>Топливный фильтр (800154807)</t>
  </si>
  <si>
    <t>800154807</t>
  </si>
  <si>
    <t>01860S / P502481</t>
  </si>
  <si>
    <t>Топливный фильтр (803436245)</t>
  </si>
  <si>
    <t>803436245</t>
  </si>
  <si>
    <t>803444890 / SZG5950A003B / SH60959</t>
  </si>
  <si>
    <t>Гидравлический фильтр (803436460)</t>
  </si>
  <si>
    <t>Гидравлический фильтр (860176640)</t>
  </si>
  <si>
    <t>860176640</t>
  </si>
  <si>
    <t>803436529 / 860157814</t>
  </si>
  <si>
    <t>Масло моторное CI-4 15W/40</t>
  </si>
  <si>
    <t>75 л/ТО</t>
  </si>
  <si>
    <t>МОДЕЛЬ 1: Фронтальный погрузчик SDLG 933F (1 ед.)</t>
  </si>
  <si>
    <t>МОДЕЛЬ 5: Автогрейдер SANY STG210C-8S (1 ед.)</t>
  </si>
  <si>
    <t>МОДЕЛЬ 6: Каток дорожный SANY SSR200C-812 (1 ед.)</t>
  </si>
  <si>
    <t>МОДЕЛЬ 7: Экскаватор XCMG XE1350 (2 ед.)</t>
  </si>
  <si>
    <t>МОДЕЛЬ 10: Карьерный самосвал SANY SKT5115S (8 ед.)</t>
  </si>
  <si>
    <t>Карьерный самосвал SANY SKT 5115S</t>
  </si>
  <si>
    <t>ИТОГО по модели: Карьерный самосвал SANY SKT 5115S</t>
  </si>
  <si>
    <t>МОДЕЛЬ 11: Самосвал XCMG XG105 (1 ед.)</t>
  </si>
  <si>
    <t>Самосвал XCMG XG105</t>
  </si>
  <si>
    <t>ИТОГО по модели: Самосвал XCMG XG105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</si>
</sst>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Arial"/>
    </font>
    <font>
      <b/>
      <sz val="9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C55A11"/>
        <bgColor rgb="FFC55A11"/>
      </patternFill>
    </fill>
    <fill>
      <patternFill patternType="solid">
        <fgColor rgb="FFEEF3FA"/>
        <bgColor rgb="FFEEF3FA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7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>
      <pane ySplit="4" topLeftCell="A32" activePane="bottomLeft" state="frozen"/>
      <selection pane="bottomLeft" activeCell="D64" sqref="D64"/>
    </sheetView>
  </sheetViews>
  <sheetFormatPr defaultRowHeight="15" x14ac:dyDescent="0.25"/>
  <cols>
    <col min="1" max="1" width="5" style="10" customWidth="1"/>
    <col min="2" max="2" width="7" style="10" customWidth="1"/>
    <col min="3" max="3" width="38" style="10" customWidth="1"/>
    <col min="4" max="4" width="14" style="10" customWidth="1"/>
    <col min="5" max="5" width="11.42578125" style="11" customWidth="1"/>
    <col min="6" max="10" width="9" style="10" customWidth="1"/>
    <col min="11" max="11" width="12" style="10" customWidth="1"/>
    <col min="12" max="12" width="8" style="10" customWidth="1"/>
    <col min="13" max="14" width="9" style="10" customWidth="1"/>
    <col min="15" max="15" width="62" style="10" customWidth="1"/>
  </cols>
  <sheetData>
    <row r="1" spans="1:17" ht="27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4.1" customHeight="1" x14ac:dyDescent="0.25">
      <c r="A2" s="18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ht="50.1" customHeight="1" x14ac:dyDescent="0.25">
      <c r="A3" s="15" t="s">
        <v>2</v>
      </c>
      <c r="B3" s="15" t="s">
        <v>3</v>
      </c>
      <c r="C3" s="15" t="s">
        <v>4</v>
      </c>
      <c r="D3" s="15" t="s">
        <v>5</v>
      </c>
      <c r="E3" s="20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</row>
    <row r="4" spans="1:17" ht="50.1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20.100000000000001" customHeight="1" x14ac:dyDescent="0.25">
      <c r="A5" s="19" t="s">
        <v>315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A6" s="5">
        <v>1</v>
      </c>
      <c r="B6" s="5">
        <v>406</v>
      </c>
      <c r="C6" s="6" t="s">
        <v>17</v>
      </c>
      <c r="D6" s="5" t="s">
        <v>18</v>
      </c>
      <c r="E6" s="8" t="s">
        <v>19</v>
      </c>
      <c r="F6" s="5">
        <v>1</v>
      </c>
      <c r="G6" s="5">
        <v>2</v>
      </c>
      <c r="H6" s="5">
        <v>1</v>
      </c>
      <c r="I6" s="5">
        <v>1</v>
      </c>
      <c r="J6" s="5">
        <v>18</v>
      </c>
      <c r="K6" s="5">
        <v>35</v>
      </c>
      <c r="L6" s="5">
        <v>2</v>
      </c>
      <c r="M6" s="5">
        <v>0</v>
      </c>
      <c r="N6" s="5"/>
      <c r="O6" s="7" t="s">
        <v>20</v>
      </c>
    </row>
    <row r="7" spans="1:17" x14ac:dyDescent="0.25">
      <c r="A7" s="5">
        <v>2</v>
      </c>
      <c r="B7" s="5">
        <v>406</v>
      </c>
      <c r="C7" s="6" t="s">
        <v>17</v>
      </c>
      <c r="D7" s="5" t="s">
        <v>21</v>
      </c>
      <c r="E7" s="8" t="s">
        <v>22</v>
      </c>
      <c r="F7" s="5">
        <v>1</v>
      </c>
      <c r="G7" s="5">
        <v>2</v>
      </c>
      <c r="H7" s="5">
        <v>1</v>
      </c>
      <c r="I7" s="5">
        <v>1</v>
      </c>
      <c r="J7" s="5">
        <v>18</v>
      </c>
      <c r="K7" s="5">
        <v>35</v>
      </c>
      <c r="L7" s="5">
        <v>2</v>
      </c>
      <c r="M7" s="5">
        <v>0</v>
      </c>
      <c r="N7" s="5"/>
      <c r="O7" s="7" t="s">
        <v>20</v>
      </c>
    </row>
    <row r="8" spans="1:17" ht="15.95" customHeight="1" x14ac:dyDescent="0.25">
      <c r="A8" s="5">
        <v>3</v>
      </c>
      <c r="B8" s="5">
        <v>406</v>
      </c>
      <c r="C8" s="6" t="s">
        <v>17</v>
      </c>
      <c r="D8" s="5" t="s">
        <v>18</v>
      </c>
      <c r="E8" s="8" t="s">
        <v>23</v>
      </c>
      <c r="F8" s="5">
        <v>1</v>
      </c>
      <c r="G8" s="5">
        <v>2</v>
      </c>
      <c r="H8" s="5">
        <v>1</v>
      </c>
      <c r="I8" s="5">
        <v>1</v>
      </c>
      <c r="J8" s="5">
        <v>18</v>
      </c>
      <c r="K8" s="5">
        <v>35</v>
      </c>
      <c r="L8" s="5">
        <v>2</v>
      </c>
      <c r="M8" s="5">
        <v>0</v>
      </c>
      <c r="N8" s="5"/>
      <c r="O8" s="7" t="s">
        <v>20</v>
      </c>
      <c r="P8" s="2"/>
    </row>
    <row r="9" spans="1:17" ht="20.100000000000001" customHeight="1" x14ac:dyDescent="0.25">
      <c r="A9" s="17" t="s">
        <v>24</v>
      </c>
      <c r="B9" s="13"/>
      <c r="C9" s="13"/>
      <c r="D9" s="13"/>
      <c r="E9" s="14"/>
      <c r="F9" s="1">
        <f>SUM(F6:F8)</f>
        <v>3</v>
      </c>
      <c r="G9" s="1">
        <f>SUM(G6:G8)</f>
        <v>6</v>
      </c>
      <c r="H9" s="1">
        <f>SUM(H6:H8)</f>
        <v>3</v>
      </c>
      <c r="I9" s="1">
        <f>SUM(I6:I8)</f>
        <v>3</v>
      </c>
      <c r="J9" s="1">
        <f>SUM(J6:J8)</f>
        <v>54</v>
      </c>
      <c r="K9" s="1"/>
      <c r="L9" s="1"/>
      <c r="M9" s="1"/>
      <c r="N9" s="1"/>
      <c r="O9" s="1"/>
    </row>
    <row r="10" spans="1:17" x14ac:dyDescent="0.25">
      <c r="A10" s="19" t="s">
        <v>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7" x14ac:dyDescent="0.25">
      <c r="A11" s="5">
        <v>4</v>
      </c>
      <c r="B11" s="5">
        <v>301</v>
      </c>
      <c r="C11" s="6" t="s">
        <v>26</v>
      </c>
      <c r="D11" s="5" t="s">
        <v>21</v>
      </c>
      <c r="E11" s="8" t="s">
        <v>27</v>
      </c>
      <c r="F11" s="5">
        <v>2</v>
      </c>
      <c r="G11" s="5">
        <v>2</v>
      </c>
      <c r="H11" s="5">
        <v>1</v>
      </c>
      <c r="I11" s="5">
        <v>1</v>
      </c>
      <c r="J11" s="5">
        <v>32</v>
      </c>
      <c r="K11" s="5">
        <v>60</v>
      </c>
      <c r="L11" s="5">
        <v>2</v>
      </c>
      <c r="M11" s="5">
        <v>0</v>
      </c>
      <c r="N11" s="5"/>
      <c r="O11" s="7" t="s">
        <v>28</v>
      </c>
    </row>
    <row r="12" spans="1:17" x14ac:dyDescent="0.25">
      <c r="A12" s="17" t="s">
        <v>29</v>
      </c>
      <c r="B12" s="13"/>
      <c r="C12" s="13"/>
      <c r="D12" s="13"/>
      <c r="E12" s="14"/>
      <c r="F12" s="1">
        <f>SUM(F11:F11)</f>
        <v>2</v>
      </c>
      <c r="G12" s="1">
        <f>SUM(G11:G11)</f>
        <v>2</v>
      </c>
      <c r="H12" s="1">
        <f>SUM(H11:H11)</f>
        <v>1</v>
      </c>
      <c r="I12" s="1">
        <f>SUM(I11:I11)</f>
        <v>1</v>
      </c>
      <c r="J12" s="1">
        <f>SUM(J11:J11)</f>
        <v>32</v>
      </c>
      <c r="K12" s="1"/>
      <c r="L12" s="1"/>
      <c r="M12" s="1"/>
      <c r="N12" s="1"/>
      <c r="O12" s="1"/>
    </row>
    <row r="13" spans="1:17" x14ac:dyDescent="0.25">
      <c r="A13" s="19" t="s">
        <v>30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7" ht="15.95" customHeight="1" x14ac:dyDescent="0.25">
      <c r="A14" s="5">
        <v>5</v>
      </c>
      <c r="B14" s="5" t="s">
        <v>31</v>
      </c>
      <c r="C14" s="6" t="s">
        <v>32</v>
      </c>
      <c r="D14" s="5" t="s">
        <v>33</v>
      </c>
      <c r="E14" s="8" t="s">
        <v>34</v>
      </c>
      <c r="F14" s="5">
        <v>2</v>
      </c>
      <c r="G14" s="5">
        <v>2</v>
      </c>
      <c r="H14" s="5">
        <v>1</v>
      </c>
      <c r="I14" s="5">
        <v>1</v>
      </c>
      <c r="J14" s="5">
        <v>36</v>
      </c>
      <c r="K14" s="5">
        <v>65</v>
      </c>
      <c r="L14" s="5">
        <v>2</v>
      </c>
      <c r="M14" s="5">
        <v>0</v>
      </c>
      <c r="N14" s="5"/>
      <c r="O14" s="7" t="s">
        <v>35</v>
      </c>
      <c r="P14" s="2"/>
    </row>
    <row r="15" spans="1:17" ht="20.100000000000001" customHeight="1" x14ac:dyDescent="0.25">
      <c r="A15" s="17" t="s">
        <v>36</v>
      </c>
      <c r="B15" s="13"/>
      <c r="C15" s="13"/>
      <c r="D15" s="13"/>
      <c r="E15" s="14"/>
      <c r="F15" s="1">
        <f>SUM(F14:F14)</f>
        <v>2</v>
      </c>
      <c r="G15" s="1">
        <f>SUM(G14:G14)</f>
        <v>2</v>
      </c>
      <c r="H15" s="1">
        <f>SUM(H14:H14)</f>
        <v>1</v>
      </c>
      <c r="I15" s="1">
        <f>SUM(I14:I14)</f>
        <v>1</v>
      </c>
      <c r="J15" s="1">
        <f>SUM(J14:J14)</f>
        <v>36</v>
      </c>
      <c r="K15" s="1"/>
      <c r="L15" s="1"/>
      <c r="M15" s="1"/>
      <c r="N15" s="1"/>
      <c r="O15" s="1"/>
    </row>
    <row r="16" spans="1:17" x14ac:dyDescent="0.25">
      <c r="A16" s="19" t="s">
        <v>37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6" x14ac:dyDescent="0.25">
      <c r="A17" s="5">
        <v>6</v>
      </c>
      <c r="B17" s="5" t="s">
        <v>31</v>
      </c>
      <c r="C17" s="6" t="s">
        <v>38</v>
      </c>
      <c r="D17" s="5" t="s">
        <v>33</v>
      </c>
      <c r="E17" s="8" t="s">
        <v>39</v>
      </c>
      <c r="F17" s="5">
        <v>2</v>
      </c>
      <c r="G17" s="5">
        <v>2</v>
      </c>
      <c r="H17" s="5">
        <v>1</v>
      </c>
      <c r="I17" s="5">
        <v>1</v>
      </c>
      <c r="J17" s="5">
        <v>42</v>
      </c>
      <c r="K17" s="5">
        <v>80</v>
      </c>
      <c r="L17" s="5">
        <v>2</v>
      </c>
      <c r="M17" s="5">
        <v>0</v>
      </c>
      <c r="N17" s="5"/>
      <c r="O17" s="7" t="s">
        <v>40</v>
      </c>
    </row>
    <row r="18" spans="1:16" x14ac:dyDescent="0.25">
      <c r="A18" s="17" t="s">
        <v>41</v>
      </c>
      <c r="B18" s="13"/>
      <c r="C18" s="13"/>
      <c r="D18" s="13"/>
      <c r="E18" s="14"/>
      <c r="F18" s="1">
        <f>SUM(F17:F17)</f>
        <v>2</v>
      </c>
      <c r="G18" s="1">
        <f>SUM(G17:G17)</f>
        <v>2</v>
      </c>
      <c r="H18" s="1">
        <f>SUM(H17:H17)</f>
        <v>1</v>
      </c>
      <c r="I18" s="1">
        <f>SUM(I17:I17)</f>
        <v>1</v>
      </c>
      <c r="J18" s="1">
        <f>SUM(J17:J17)</f>
        <v>42</v>
      </c>
      <c r="K18" s="1"/>
      <c r="L18" s="1"/>
      <c r="M18" s="1"/>
      <c r="N18" s="1"/>
      <c r="O18" s="1"/>
    </row>
    <row r="19" spans="1:16" x14ac:dyDescent="0.25">
      <c r="A19" s="19" t="s">
        <v>316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6" x14ac:dyDescent="0.25">
      <c r="A20" s="5">
        <v>7</v>
      </c>
      <c r="B20" s="5" t="s">
        <v>31</v>
      </c>
      <c r="C20" s="6" t="s">
        <v>42</v>
      </c>
      <c r="D20" s="5" t="s">
        <v>33</v>
      </c>
      <c r="E20" s="8" t="s">
        <v>43</v>
      </c>
      <c r="F20" s="5">
        <v>1</v>
      </c>
      <c r="G20" s="5">
        <v>4</v>
      </c>
      <c r="H20" s="5">
        <v>0</v>
      </c>
      <c r="I20" s="5">
        <v>0</v>
      </c>
      <c r="J20" s="5">
        <v>24</v>
      </c>
      <c r="K20" s="5">
        <v>0</v>
      </c>
      <c r="L20" s="5">
        <v>2</v>
      </c>
      <c r="M20" s="5">
        <v>0</v>
      </c>
      <c r="N20" s="5"/>
      <c r="O20" s="7" t="s">
        <v>44</v>
      </c>
    </row>
    <row r="21" spans="1:16" x14ac:dyDescent="0.25">
      <c r="A21" s="5">
        <v>8</v>
      </c>
      <c r="B21" s="5" t="s">
        <v>31</v>
      </c>
      <c r="C21" s="6" t="s">
        <v>42</v>
      </c>
      <c r="D21" s="5" t="s">
        <v>18</v>
      </c>
      <c r="E21" s="8" t="s">
        <v>22</v>
      </c>
      <c r="F21" s="5">
        <v>1</v>
      </c>
      <c r="G21" s="5">
        <v>4</v>
      </c>
      <c r="H21" s="5">
        <v>0</v>
      </c>
      <c r="I21" s="5">
        <v>0</v>
      </c>
      <c r="J21" s="5">
        <v>24</v>
      </c>
      <c r="K21" s="5">
        <v>0</v>
      </c>
      <c r="L21" s="5">
        <v>2</v>
      </c>
      <c r="M21" s="5">
        <v>0</v>
      </c>
      <c r="N21" s="5"/>
      <c r="O21" s="7" t="s">
        <v>44</v>
      </c>
    </row>
    <row r="22" spans="1:16" x14ac:dyDescent="0.25">
      <c r="A22" s="5">
        <v>9</v>
      </c>
      <c r="B22" s="5" t="s">
        <v>31</v>
      </c>
      <c r="C22" s="6" t="s">
        <v>42</v>
      </c>
      <c r="D22" s="5" t="s">
        <v>21</v>
      </c>
      <c r="E22" s="8" t="s">
        <v>45</v>
      </c>
      <c r="F22" s="5">
        <v>1</v>
      </c>
      <c r="G22" s="5">
        <v>4</v>
      </c>
      <c r="H22" s="5">
        <v>0</v>
      </c>
      <c r="I22" s="5">
        <v>0</v>
      </c>
      <c r="J22" s="5">
        <v>24</v>
      </c>
      <c r="K22" s="5">
        <v>0</v>
      </c>
      <c r="L22" s="5">
        <v>2</v>
      </c>
      <c r="M22" s="5">
        <v>0</v>
      </c>
      <c r="N22" s="5"/>
      <c r="O22" s="7" t="s">
        <v>44</v>
      </c>
    </row>
    <row r="23" spans="1:16" x14ac:dyDescent="0.25">
      <c r="A23" s="17" t="s">
        <v>46</v>
      </c>
      <c r="B23" s="13"/>
      <c r="C23" s="13"/>
      <c r="D23" s="13"/>
      <c r="E23" s="14"/>
      <c r="F23" s="1">
        <f>SUM(F20:F22)</f>
        <v>3</v>
      </c>
      <c r="G23" s="1">
        <f>SUM(G20:G22)</f>
        <v>12</v>
      </c>
      <c r="H23" s="1">
        <f>SUM(H20:H22)</f>
        <v>0</v>
      </c>
      <c r="I23" s="1">
        <f>SUM(I20:I22)</f>
        <v>0</v>
      </c>
      <c r="J23" s="1">
        <f>SUM(J20:J22)</f>
        <v>72</v>
      </c>
      <c r="K23" s="1"/>
      <c r="L23" s="1"/>
      <c r="M23" s="1"/>
      <c r="N23" s="1"/>
      <c r="O23" s="1"/>
    </row>
    <row r="24" spans="1:16" x14ac:dyDescent="0.25">
      <c r="A24" s="19" t="s">
        <v>317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6" x14ac:dyDescent="0.25">
      <c r="A25" s="5">
        <v>10</v>
      </c>
      <c r="B25" s="5" t="s">
        <v>31</v>
      </c>
      <c r="C25" s="6" t="s">
        <v>47</v>
      </c>
      <c r="D25" s="5" t="s">
        <v>21</v>
      </c>
      <c r="E25" s="8" t="s">
        <v>48</v>
      </c>
      <c r="F25" s="5">
        <v>1</v>
      </c>
      <c r="G25" s="5">
        <v>2</v>
      </c>
      <c r="H25" s="5">
        <v>1</v>
      </c>
      <c r="I25" s="5">
        <v>0</v>
      </c>
      <c r="J25" s="5">
        <v>16</v>
      </c>
      <c r="K25" s="5">
        <v>0</v>
      </c>
      <c r="L25" s="5">
        <v>2</v>
      </c>
      <c r="M25" s="5">
        <v>0</v>
      </c>
      <c r="N25" s="5"/>
      <c r="O25" s="7" t="s">
        <v>49</v>
      </c>
    </row>
    <row r="26" spans="1:16" x14ac:dyDescent="0.25">
      <c r="A26" s="5">
        <v>11</v>
      </c>
      <c r="B26" s="5" t="s">
        <v>31</v>
      </c>
      <c r="C26" s="6" t="s">
        <v>47</v>
      </c>
      <c r="D26" s="5" t="s">
        <v>18</v>
      </c>
      <c r="E26" s="8" t="s">
        <v>50</v>
      </c>
      <c r="F26" s="5">
        <v>1</v>
      </c>
      <c r="G26" s="5">
        <v>2</v>
      </c>
      <c r="H26" s="5">
        <v>1</v>
      </c>
      <c r="I26" s="5">
        <v>0</v>
      </c>
      <c r="J26" s="5">
        <v>16</v>
      </c>
      <c r="K26" s="5">
        <v>0</v>
      </c>
      <c r="L26" s="5">
        <v>2</v>
      </c>
      <c r="M26" s="5">
        <v>0</v>
      </c>
      <c r="N26" s="5"/>
      <c r="O26" s="7" t="s">
        <v>49</v>
      </c>
    </row>
    <row r="27" spans="1:16" x14ac:dyDescent="0.25">
      <c r="A27" s="17" t="s">
        <v>51</v>
      </c>
      <c r="B27" s="13"/>
      <c r="C27" s="13"/>
      <c r="D27" s="13"/>
      <c r="E27" s="14"/>
      <c r="F27" s="1">
        <f>SUM(F25:F26)</f>
        <v>2</v>
      </c>
      <c r="G27" s="1">
        <f>SUM(G25:G26)</f>
        <v>4</v>
      </c>
      <c r="H27" s="1">
        <f>SUM(H25:H26)</f>
        <v>2</v>
      </c>
      <c r="I27" s="1">
        <f>SUM(I25:I26)</f>
        <v>0</v>
      </c>
      <c r="J27" s="1">
        <f>SUM(J25:J26)</f>
        <v>32</v>
      </c>
      <c r="K27" s="1"/>
      <c r="L27" s="1"/>
      <c r="M27" s="1"/>
      <c r="N27" s="1"/>
      <c r="O27" s="1"/>
    </row>
    <row r="28" spans="1:16" x14ac:dyDescent="0.25">
      <c r="A28" s="19" t="s">
        <v>318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6" ht="15.95" customHeight="1" x14ac:dyDescent="0.25">
      <c r="A29" s="5">
        <v>12</v>
      </c>
      <c r="B29" s="5">
        <v>212</v>
      </c>
      <c r="C29" s="6" t="s">
        <v>52</v>
      </c>
      <c r="D29" s="5" t="s">
        <v>18</v>
      </c>
      <c r="E29" s="8" t="s">
        <v>53</v>
      </c>
      <c r="F29" s="5">
        <v>2</v>
      </c>
      <c r="G29" s="5">
        <v>4</v>
      </c>
      <c r="H29" s="5">
        <v>1</v>
      </c>
      <c r="I29" s="5">
        <v>2</v>
      </c>
      <c r="J29" s="5">
        <v>38</v>
      </c>
      <c r="K29" s="5">
        <v>120</v>
      </c>
      <c r="L29" s="5">
        <v>2</v>
      </c>
      <c r="M29" s="5">
        <v>0</v>
      </c>
      <c r="N29" s="5"/>
      <c r="O29" s="7" t="s">
        <v>54</v>
      </c>
      <c r="P29" s="2"/>
    </row>
    <row r="30" spans="1:16" ht="20.100000000000001" customHeight="1" x14ac:dyDescent="0.25">
      <c r="A30" s="5">
        <v>13</v>
      </c>
      <c r="B30" s="5">
        <v>212</v>
      </c>
      <c r="C30" s="6" t="s">
        <v>52</v>
      </c>
      <c r="D30" s="5" t="s">
        <v>33</v>
      </c>
      <c r="E30" s="8" t="s">
        <v>55</v>
      </c>
      <c r="F30" s="5">
        <v>2</v>
      </c>
      <c r="G30" s="5">
        <v>4</v>
      </c>
      <c r="H30" s="5">
        <v>1</v>
      </c>
      <c r="I30" s="5">
        <v>2</v>
      </c>
      <c r="J30" s="5">
        <v>38</v>
      </c>
      <c r="K30" s="5">
        <v>120</v>
      </c>
      <c r="L30" s="5">
        <v>2</v>
      </c>
      <c r="M30" s="5">
        <v>0</v>
      </c>
      <c r="N30" s="5"/>
      <c r="O30" s="7" t="s">
        <v>54</v>
      </c>
    </row>
    <row r="31" spans="1:16" x14ac:dyDescent="0.25">
      <c r="A31" s="5">
        <v>14</v>
      </c>
      <c r="B31" s="5">
        <v>213</v>
      </c>
      <c r="C31" s="6" t="s">
        <v>52</v>
      </c>
      <c r="D31" s="5" t="s">
        <v>18</v>
      </c>
      <c r="E31" s="8" t="s">
        <v>56</v>
      </c>
      <c r="F31" s="5">
        <v>2</v>
      </c>
      <c r="G31" s="5">
        <v>4</v>
      </c>
      <c r="H31" s="5">
        <v>1</v>
      </c>
      <c r="I31" s="5">
        <v>2</v>
      </c>
      <c r="J31" s="5">
        <v>38</v>
      </c>
      <c r="K31" s="5">
        <v>120</v>
      </c>
      <c r="L31" s="5">
        <v>2</v>
      </c>
      <c r="M31" s="5">
        <v>0</v>
      </c>
      <c r="N31" s="5"/>
      <c r="O31" s="7" t="s">
        <v>54</v>
      </c>
    </row>
    <row r="32" spans="1:16" x14ac:dyDescent="0.25">
      <c r="A32" s="5">
        <v>15</v>
      </c>
      <c r="B32" s="5">
        <v>213</v>
      </c>
      <c r="C32" s="6" t="s">
        <v>52</v>
      </c>
      <c r="D32" s="5" t="s">
        <v>33</v>
      </c>
      <c r="E32" s="8" t="s">
        <v>57</v>
      </c>
      <c r="F32" s="5">
        <v>2</v>
      </c>
      <c r="G32" s="5">
        <v>4</v>
      </c>
      <c r="H32" s="5">
        <v>1</v>
      </c>
      <c r="I32" s="5">
        <v>2</v>
      </c>
      <c r="J32" s="5">
        <v>38</v>
      </c>
      <c r="K32" s="5">
        <v>120</v>
      </c>
      <c r="L32" s="5">
        <v>2</v>
      </c>
      <c r="M32" s="5">
        <v>0</v>
      </c>
      <c r="N32" s="5"/>
      <c r="O32" s="7" t="s">
        <v>54</v>
      </c>
    </row>
    <row r="33" spans="1:15" x14ac:dyDescent="0.25">
      <c r="A33" s="17" t="s">
        <v>58</v>
      </c>
      <c r="B33" s="13"/>
      <c r="C33" s="13"/>
      <c r="D33" s="13"/>
      <c r="E33" s="14"/>
      <c r="F33" s="1">
        <f>SUM(F29:F32)</f>
        <v>8</v>
      </c>
      <c r="G33" s="1">
        <f>SUM(G29:G32)</f>
        <v>16</v>
      </c>
      <c r="H33" s="1">
        <f>SUM(H29:H32)</f>
        <v>4</v>
      </c>
      <c r="I33" s="1">
        <f>SUM(I29:I32)</f>
        <v>8</v>
      </c>
      <c r="J33" s="1">
        <f>SUM(J29:J32)</f>
        <v>152</v>
      </c>
      <c r="K33" s="1"/>
      <c r="L33" s="1"/>
      <c r="M33" s="1"/>
      <c r="N33" s="1"/>
      <c r="O33" s="1"/>
    </row>
    <row r="34" spans="1:15" x14ac:dyDescent="0.25">
      <c r="A34" s="19" t="s">
        <v>59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x14ac:dyDescent="0.25">
      <c r="A35" s="5">
        <v>16</v>
      </c>
      <c r="B35" s="5" t="s">
        <v>31</v>
      </c>
      <c r="C35" s="6" t="s">
        <v>60</v>
      </c>
      <c r="D35" s="5" t="s">
        <v>33</v>
      </c>
      <c r="E35" s="8" t="s">
        <v>39</v>
      </c>
      <c r="F35" s="5">
        <v>2</v>
      </c>
      <c r="G35" s="5">
        <v>3</v>
      </c>
      <c r="H35" s="5">
        <v>1</v>
      </c>
      <c r="I35" s="5">
        <v>2</v>
      </c>
      <c r="J35" s="5">
        <v>40</v>
      </c>
      <c r="K35" s="5">
        <v>130</v>
      </c>
      <c r="L35" s="5">
        <v>2</v>
      </c>
      <c r="M35" s="5">
        <v>0</v>
      </c>
      <c r="N35" s="5"/>
      <c r="O35" s="7" t="s">
        <v>61</v>
      </c>
    </row>
    <row r="36" spans="1:15" x14ac:dyDescent="0.25">
      <c r="A36" s="17" t="s">
        <v>62</v>
      </c>
      <c r="B36" s="13"/>
      <c r="C36" s="13"/>
      <c r="D36" s="13"/>
      <c r="E36" s="14"/>
      <c r="F36" s="1">
        <f>SUM(F35:F35)</f>
        <v>2</v>
      </c>
      <c r="G36" s="1">
        <f>SUM(G35:G35)</f>
        <v>3</v>
      </c>
      <c r="H36" s="1">
        <f>SUM(H35:H35)</f>
        <v>1</v>
      </c>
      <c r="I36" s="1">
        <f>SUM(I35:I35)</f>
        <v>2</v>
      </c>
      <c r="J36" s="1">
        <f>SUM(J35:J35)</f>
        <v>40</v>
      </c>
      <c r="K36" s="1"/>
      <c r="L36" s="1"/>
      <c r="M36" s="1"/>
      <c r="N36" s="1"/>
      <c r="O36" s="1"/>
    </row>
    <row r="37" spans="1:15" x14ac:dyDescent="0.25">
      <c r="A37" s="19" t="s">
        <v>63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x14ac:dyDescent="0.25">
      <c r="A38" s="5">
        <v>17</v>
      </c>
      <c r="B38" s="5">
        <v>207</v>
      </c>
      <c r="C38" s="6" t="s">
        <v>64</v>
      </c>
      <c r="D38" s="5" t="s">
        <v>33</v>
      </c>
      <c r="E38" s="8" t="s">
        <v>65</v>
      </c>
      <c r="F38" s="5">
        <v>2</v>
      </c>
      <c r="G38" s="5">
        <v>3</v>
      </c>
      <c r="H38" s="5">
        <v>1</v>
      </c>
      <c r="I38" s="5">
        <v>2</v>
      </c>
      <c r="J38" s="5">
        <v>36</v>
      </c>
      <c r="K38" s="5">
        <v>110</v>
      </c>
      <c r="L38" s="5">
        <v>2</v>
      </c>
      <c r="M38" s="5">
        <v>0</v>
      </c>
      <c r="N38" s="5"/>
      <c r="O38" s="7" t="s">
        <v>66</v>
      </c>
    </row>
    <row r="39" spans="1:15" x14ac:dyDescent="0.25">
      <c r="A39" s="17" t="s">
        <v>67</v>
      </c>
      <c r="B39" s="13"/>
      <c r="C39" s="13"/>
      <c r="D39" s="13"/>
      <c r="E39" s="14"/>
      <c r="F39" s="1">
        <f>SUM(F38:F38)</f>
        <v>2</v>
      </c>
      <c r="G39" s="1">
        <f>SUM(G38:G38)</f>
        <v>3</v>
      </c>
      <c r="H39" s="1">
        <f>SUM(H38:H38)</f>
        <v>1</v>
      </c>
      <c r="I39" s="1">
        <f>SUM(I38:I38)</f>
        <v>2</v>
      </c>
      <c r="J39" s="1">
        <f>SUM(J38:J38)</f>
        <v>36</v>
      </c>
      <c r="K39" s="1"/>
      <c r="L39" s="1"/>
      <c r="M39" s="1"/>
      <c r="N39" s="1"/>
      <c r="O39" s="1"/>
    </row>
    <row r="40" spans="1:15" x14ac:dyDescent="0.25">
      <c r="A40" s="19" t="s">
        <v>319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x14ac:dyDescent="0.25">
      <c r="A41" s="5">
        <v>18</v>
      </c>
      <c r="B41" s="5">
        <v>127</v>
      </c>
      <c r="C41" s="6" t="s">
        <v>320</v>
      </c>
      <c r="D41" s="5" t="s">
        <v>18</v>
      </c>
      <c r="E41" s="8" t="s">
        <v>68</v>
      </c>
      <c r="F41" s="5">
        <v>2</v>
      </c>
      <c r="G41" s="5">
        <v>4</v>
      </c>
      <c r="H41" s="5">
        <v>1</v>
      </c>
      <c r="I41" s="5">
        <v>0</v>
      </c>
      <c r="J41" s="5">
        <v>38</v>
      </c>
      <c r="K41" s="5">
        <v>40</v>
      </c>
      <c r="L41" s="5">
        <v>2</v>
      </c>
      <c r="M41" s="5">
        <v>0</v>
      </c>
      <c r="N41" s="5"/>
      <c r="O41" s="7" t="s">
        <v>69</v>
      </c>
    </row>
    <row r="42" spans="1:15" x14ac:dyDescent="0.25">
      <c r="A42" s="5">
        <v>19</v>
      </c>
      <c r="B42" s="5">
        <v>127</v>
      </c>
      <c r="C42" s="6" t="s">
        <v>320</v>
      </c>
      <c r="D42" s="5" t="s">
        <v>21</v>
      </c>
      <c r="E42" s="8" t="s">
        <v>70</v>
      </c>
      <c r="F42" s="5">
        <v>2</v>
      </c>
      <c r="G42" s="5">
        <v>4</v>
      </c>
      <c r="H42" s="5">
        <v>1</v>
      </c>
      <c r="I42" s="5">
        <v>0</v>
      </c>
      <c r="J42" s="5">
        <v>38</v>
      </c>
      <c r="K42" s="5">
        <v>40</v>
      </c>
      <c r="L42" s="5">
        <v>2</v>
      </c>
      <c r="M42" s="5">
        <v>0</v>
      </c>
      <c r="N42" s="5"/>
      <c r="O42" s="7" t="s">
        <v>69</v>
      </c>
    </row>
    <row r="43" spans="1:15" x14ac:dyDescent="0.25">
      <c r="A43" s="5">
        <v>20</v>
      </c>
      <c r="B43" s="5">
        <v>127</v>
      </c>
      <c r="C43" s="6" t="s">
        <v>320</v>
      </c>
      <c r="D43" s="5" t="s">
        <v>18</v>
      </c>
      <c r="E43" s="8" t="s">
        <v>71</v>
      </c>
      <c r="F43" s="5">
        <v>2</v>
      </c>
      <c r="G43" s="5">
        <v>4</v>
      </c>
      <c r="H43" s="5">
        <v>1</v>
      </c>
      <c r="I43" s="5">
        <v>0</v>
      </c>
      <c r="J43" s="5">
        <v>38</v>
      </c>
      <c r="K43" s="5">
        <v>40</v>
      </c>
      <c r="L43" s="5">
        <v>2</v>
      </c>
      <c r="M43" s="5">
        <v>0</v>
      </c>
      <c r="N43" s="5"/>
      <c r="O43" s="7" t="s">
        <v>69</v>
      </c>
    </row>
    <row r="44" spans="1:15" x14ac:dyDescent="0.25">
      <c r="A44" s="5">
        <v>21</v>
      </c>
      <c r="B44" s="5">
        <v>128</v>
      </c>
      <c r="C44" s="6" t="s">
        <v>320</v>
      </c>
      <c r="D44" s="5" t="s">
        <v>21</v>
      </c>
      <c r="E44" s="8" t="s">
        <v>72</v>
      </c>
      <c r="F44" s="5">
        <v>2</v>
      </c>
      <c r="G44" s="5">
        <v>4</v>
      </c>
      <c r="H44" s="5">
        <v>1</v>
      </c>
      <c r="I44" s="5">
        <v>0</v>
      </c>
      <c r="J44" s="5">
        <v>38</v>
      </c>
      <c r="K44" s="5">
        <v>40</v>
      </c>
      <c r="L44" s="5">
        <v>2</v>
      </c>
      <c r="M44" s="5">
        <v>0</v>
      </c>
      <c r="N44" s="5"/>
      <c r="O44" s="7" t="s">
        <v>69</v>
      </c>
    </row>
    <row r="45" spans="1:15" x14ac:dyDescent="0.25">
      <c r="A45" s="5">
        <v>22</v>
      </c>
      <c r="B45" s="5">
        <v>128</v>
      </c>
      <c r="C45" s="6" t="s">
        <v>320</v>
      </c>
      <c r="D45" s="5" t="s">
        <v>18</v>
      </c>
      <c r="E45" s="8" t="s">
        <v>27</v>
      </c>
      <c r="F45" s="5">
        <v>2</v>
      </c>
      <c r="G45" s="5">
        <v>4</v>
      </c>
      <c r="H45" s="5">
        <v>1</v>
      </c>
      <c r="I45" s="5">
        <v>0</v>
      </c>
      <c r="J45" s="5">
        <v>38</v>
      </c>
      <c r="K45" s="5">
        <v>40</v>
      </c>
      <c r="L45" s="5">
        <v>2</v>
      </c>
      <c r="M45" s="5">
        <v>0</v>
      </c>
      <c r="N45" s="5"/>
      <c r="O45" s="7" t="s">
        <v>69</v>
      </c>
    </row>
    <row r="46" spans="1:15" x14ac:dyDescent="0.25">
      <c r="A46" s="5">
        <v>23</v>
      </c>
      <c r="B46" s="5">
        <v>129</v>
      </c>
      <c r="C46" s="6" t="s">
        <v>320</v>
      </c>
      <c r="D46" s="5" t="s">
        <v>18</v>
      </c>
      <c r="E46" s="8" t="s">
        <v>34</v>
      </c>
      <c r="F46" s="5">
        <v>2</v>
      </c>
      <c r="G46" s="5">
        <v>4</v>
      </c>
      <c r="H46" s="5">
        <v>1</v>
      </c>
      <c r="I46" s="5">
        <v>0</v>
      </c>
      <c r="J46" s="5">
        <v>38</v>
      </c>
      <c r="K46" s="5">
        <v>40</v>
      </c>
      <c r="L46" s="5">
        <v>2</v>
      </c>
      <c r="M46" s="5">
        <v>0</v>
      </c>
      <c r="N46" s="5"/>
      <c r="O46" s="7" t="s">
        <v>69</v>
      </c>
    </row>
    <row r="47" spans="1:15" x14ac:dyDescent="0.25">
      <c r="A47" s="5">
        <v>24</v>
      </c>
      <c r="B47" s="5">
        <v>129</v>
      </c>
      <c r="C47" s="6" t="s">
        <v>320</v>
      </c>
      <c r="D47" s="5" t="s">
        <v>73</v>
      </c>
      <c r="E47" s="8" t="s">
        <v>74</v>
      </c>
      <c r="F47" s="5">
        <v>2</v>
      </c>
      <c r="G47" s="5">
        <v>4</v>
      </c>
      <c r="H47" s="5">
        <v>1</v>
      </c>
      <c r="I47" s="5">
        <v>0</v>
      </c>
      <c r="J47" s="5">
        <v>38</v>
      </c>
      <c r="K47" s="5">
        <v>40</v>
      </c>
      <c r="L47" s="5">
        <v>2</v>
      </c>
      <c r="M47" s="5">
        <v>0</v>
      </c>
      <c r="N47" s="5"/>
      <c r="O47" s="7" t="s">
        <v>69</v>
      </c>
    </row>
    <row r="48" spans="1:15" x14ac:dyDescent="0.25">
      <c r="A48" s="5">
        <v>25</v>
      </c>
      <c r="B48" s="5">
        <v>131</v>
      </c>
      <c r="C48" s="6" t="s">
        <v>320</v>
      </c>
      <c r="D48" s="5" t="s">
        <v>18</v>
      </c>
      <c r="E48" s="8" t="s">
        <v>75</v>
      </c>
      <c r="F48" s="5">
        <v>2</v>
      </c>
      <c r="G48" s="5">
        <v>4</v>
      </c>
      <c r="H48" s="5">
        <v>1</v>
      </c>
      <c r="I48" s="5">
        <v>0</v>
      </c>
      <c r="J48" s="5">
        <v>38</v>
      </c>
      <c r="K48" s="5">
        <v>40</v>
      </c>
      <c r="L48" s="5">
        <v>2</v>
      </c>
      <c r="M48" s="5">
        <v>0</v>
      </c>
      <c r="N48" s="5"/>
      <c r="O48" s="7" t="s">
        <v>69</v>
      </c>
    </row>
    <row r="49" spans="1:16" x14ac:dyDescent="0.25">
      <c r="A49" s="5">
        <v>26</v>
      </c>
      <c r="B49" s="5">
        <v>131</v>
      </c>
      <c r="C49" s="6" t="s">
        <v>320</v>
      </c>
      <c r="D49" s="5" t="s">
        <v>33</v>
      </c>
      <c r="E49" s="8" t="s">
        <v>27</v>
      </c>
      <c r="F49" s="5">
        <v>2</v>
      </c>
      <c r="G49" s="5">
        <v>4</v>
      </c>
      <c r="H49" s="5">
        <v>1</v>
      </c>
      <c r="I49" s="5">
        <v>0</v>
      </c>
      <c r="J49" s="5">
        <v>38</v>
      </c>
      <c r="K49" s="5">
        <v>40</v>
      </c>
      <c r="L49" s="5">
        <v>2</v>
      </c>
      <c r="M49" s="5">
        <v>0</v>
      </c>
      <c r="N49" s="5"/>
      <c r="O49" s="7" t="s">
        <v>69</v>
      </c>
    </row>
    <row r="50" spans="1:16" x14ac:dyDescent="0.25">
      <c r="A50" s="5">
        <v>27</v>
      </c>
      <c r="B50" s="5">
        <v>132</v>
      </c>
      <c r="C50" s="6" t="s">
        <v>320</v>
      </c>
      <c r="D50" s="5" t="s">
        <v>33</v>
      </c>
      <c r="E50" s="8" t="s">
        <v>53</v>
      </c>
      <c r="F50" s="5">
        <v>2</v>
      </c>
      <c r="G50" s="5">
        <v>4</v>
      </c>
      <c r="H50" s="5">
        <v>1</v>
      </c>
      <c r="I50" s="5">
        <v>0</v>
      </c>
      <c r="J50" s="5">
        <v>38</v>
      </c>
      <c r="K50" s="5">
        <v>40</v>
      </c>
      <c r="L50" s="5">
        <v>2</v>
      </c>
      <c r="M50" s="5">
        <v>0</v>
      </c>
      <c r="N50" s="5"/>
      <c r="O50" s="7" t="s">
        <v>69</v>
      </c>
    </row>
    <row r="51" spans="1:16" x14ac:dyDescent="0.25">
      <c r="A51" s="5">
        <v>28</v>
      </c>
      <c r="B51" s="5">
        <v>132</v>
      </c>
      <c r="C51" s="6" t="s">
        <v>320</v>
      </c>
      <c r="D51" s="5" t="s">
        <v>18</v>
      </c>
      <c r="E51" s="8" t="s">
        <v>65</v>
      </c>
      <c r="F51" s="5">
        <v>2</v>
      </c>
      <c r="G51" s="5">
        <v>4</v>
      </c>
      <c r="H51" s="5">
        <v>1</v>
      </c>
      <c r="I51" s="5">
        <v>0</v>
      </c>
      <c r="J51" s="5">
        <v>38</v>
      </c>
      <c r="K51" s="5">
        <v>40</v>
      </c>
      <c r="L51" s="5">
        <v>2</v>
      </c>
      <c r="M51" s="5">
        <v>0</v>
      </c>
      <c r="N51" s="5"/>
      <c r="O51" s="7" t="s">
        <v>69</v>
      </c>
    </row>
    <row r="52" spans="1:16" x14ac:dyDescent="0.25">
      <c r="A52" s="5">
        <v>29</v>
      </c>
      <c r="B52" s="5">
        <v>133</v>
      </c>
      <c r="C52" s="6" t="s">
        <v>320</v>
      </c>
      <c r="D52" s="5" t="s">
        <v>33</v>
      </c>
      <c r="E52" s="8" t="s">
        <v>76</v>
      </c>
      <c r="F52" s="5">
        <v>2</v>
      </c>
      <c r="G52" s="5">
        <v>4</v>
      </c>
      <c r="H52" s="5">
        <v>1</v>
      </c>
      <c r="I52" s="5">
        <v>0</v>
      </c>
      <c r="J52" s="5">
        <v>38</v>
      </c>
      <c r="K52" s="5">
        <v>40</v>
      </c>
      <c r="L52" s="5">
        <v>2</v>
      </c>
      <c r="M52" s="5">
        <v>0</v>
      </c>
      <c r="N52" s="5"/>
      <c r="O52" s="7" t="s">
        <v>69</v>
      </c>
    </row>
    <row r="53" spans="1:16" x14ac:dyDescent="0.25">
      <c r="A53" s="5">
        <v>30</v>
      </c>
      <c r="B53" s="5">
        <v>133</v>
      </c>
      <c r="C53" s="6" t="s">
        <v>320</v>
      </c>
      <c r="D53" s="5" t="s">
        <v>18</v>
      </c>
      <c r="E53" s="8" t="s">
        <v>77</v>
      </c>
      <c r="F53" s="5">
        <v>2</v>
      </c>
      <c r="G53" s="5">
        <v>4</v>
      </c>
      <c r="H53" s="5">
        <v>1</v>
      </c>
      <c r="I53" s="5">
        <v>0</v>
      </c>
      <c r="J53" s="5">
        <v>38</v>
      </c>
      <c r="K53" s="5">
        <v>40</v>
      </c>
      <c r="L53" s="5">
        <v>2</v>
      </c>
      <c r="M53" s="5">
        <v>0</v>
      </c>
      <c r="N53" s="5"/>
      <c r="O53" s="7" t="s">
        <v>69</v>
      </c>
    </row>
    <row r="54" spans="1:16" x14ac:dyDescent="0.25">
      <c r="A54" s="5">
        <v>31</v>
      </c>
      <c r="B54" s="5">
        <v>133</v>
      </c>
      <c r="C54" s="6" t="s">
        <v>320</v>
      </c>
      <c r="D54" s="5" t="s">
        <v>21</v>
      </c>
      <c r="E54" s="8" t="s">
        <v>78</v>
      </c>
      <c r="F54" s="5">
        <v>2</v>
      </c>
      <c r="G54" s="5">
        <v>4</v>
      </c>
      <c r="H54" s="5">
        <v>1</v>
      </c>
      <c r="I54" s="5">
        <v>0</v>
      </c>
      <c r="J54" s="5">
        <v>38</v>
      </c>
      <c r="K54" s="5">
        <v>40</v>
      </c>
      <c r="L54" s="5">
        <v>2</v>
      </c>
      <c r="M54" s="5">
        <v>0</v>
      </c>
      <c r="N54" s="5"/>
      <c r="O54" s="7" t="s">
        <v>69</v>
      </c>
    </row>
    <row r="55" spans="1:16" x14ac:dyDescent="0.25">
      <c r="A55" s="5">
        <v>32</v>
      </c>
      <c r="B55" s="5">
        <v>135</v>
      </c>
      <c r="C55" s="6" t="s">
        <v>320</v>
      </c>
      <c r="D55" s="5" t="s">
        <v>21</v>
      </c>
      <c r="E55" s="8" t="s">
        <v>72</v>
      </c>
      <c r="F55" s="5">
        <v>2</v>
      </c>
      <c r="G55" s="5">
        <v>4</v>
      </c>
      <c r="H55" s="5">
        <v>1</v>
      </c>
      <c r="I55" s="5">
        <v>0</v>
      </c>
      <c r="J55" s="5">
        <v>38</v>
      </c>
      <c r="K55" s="5">
        <v>40</v>
      </c>
      <c r="L55" s="5">
        <v>2</v>
      </c>
      <c r="M55" s="5">
        <v>0</v>
      </c>
      <c r="N55" s="5"/>
      <c r="O55" s="7" t="s">
        <v>69</v>
      </c>
    </row>
    <row r="56" spans="1:16" x14ac:dyDescent="0.25">
      <c r="A56" s="5">
        <v>33</v>
      </c>
      <c r="B56" s="5">
        <v>135</v>
      </c>
      <c r="C56" s="6" t="s">
        <v>320</v>
      </c>
      <c r="D56" s="5" t="s">
        <v>18</v>
      </c>
      <c r="E56" s="8" t="s">
        <v>79</v>
      </c>
      <c r="F56" s="5">
        <v>2</v>
      </c>
      <c r="G56" s="5">
        <v>4</v>
      </c>
      <c r="H56" s="5">
        <v>1</v>
      </c>
      <c r="I56" s="5">
        <v>0</v>
      </c>
      <c r="J56" s="5">
        <v>38</v>
      </c>
      <c r="K56" s="5">
        <v>40</v>
      </c>
      <c r="L56" s="5">
        <v>2</v>
      </c>
      <c r="M56" s="5">
        <v>0</v>
      </c>
      <c r="N56" s="5"/>
      <c r="O56" s="7" t="s">
        <v>69</v>
      </c>
    </row>
    <row r="57" spans="1:16" x14ac:dyDescent="0.25">
      <c r="A57" s="5">
        <v>34</v>
      </c>
      <c r="B57" s="5">
        <v>136</v>
      </c>
      <c r="C57" s="6" t="s">
        <v>320</v>
      </c>
      <c r="D57" s="5" t="s">
        <v>18</v>
      </c>
      <c r="E57" s="8" t="s">
        <v>80</v>
      </c>
      <c r="F57" s="5">
        <v>2</v>
      </c>
      <c r="G57" s="5">
        <v>4</v>
      </c>
      <c r="H57" s="5">
        <v>1</v>
      </c>
      <c r="I57" s="5">
        <v>0</v>
      </c>
      <c r="J57" s="5">
        <v>38</v>
      </c>
      <c r="K57" s="5">
        <v>40</v>
      </c>
      <c r="L57" s="5">
        <v>2</v>
      </c>
      <c r="M57" s="5">
        <v>0</v>
      </c>
      <c r="N57" s="5"/>
      <c r="O57" s="7" t="s">
        <v>69</v>
      </c>
    </row>
    <row r="58" spans="1:16" x14ac:dyDescent="0.25">
      <c r="A58" s="5">
        <v>35</v>
      </c>
      <c r="B58" s="5">
        <v>136</v>
      </c>
      <c r="C58" s="6" t="s">
        <v>320</v>
      </c>
      <c r="D58" s="5" t="s">
        <v>33</v>
      </c>
      <c r="E58" s="8" t="s">
        <v>39</v>
      </c>
      <c r="F58" s="5">
        <v>2</v>
      </c>
      <c r="G58" s="5">
        <v>4</v>
      </c>
      <c r="H58" s="5">
        <v>1</v>
      </c>
      <c r="I58" s="5">
        <v>0</v>
      </c>
      <c r="J58" s="5">
        <v>38</v>
      </c>
      <c r="K58" s="5">
        <v>40</v>
      </c>
      <c r="L58" s="5">
        <v>2</v>
      </c>
      <c r="M58" s="5">
        <v>0</v>
      </c>
      <c r="N58" s="5"/>
      <c r="O58" s="7" t="s">
        <v>69</v>
      </c>
    </row>
    <row r="59" spans="1:16" x14ac:dyDescent="0.25">
      <c r="A59" s="17" t="s">
        <v>321</v>
      </c>
      <c r="B59" s="13"/>
      <c r="C59" s="13"/>
      <c r="D59" s="13"/>
      <c r="E59" s="14"/>
      <c r="F59" s="1">
        <f>SUM(F41:F58)</f>
        <v>36</v>
      </c>
      <c r="G59" s="1">
        <f>SUM(G41:G58)</f>
        <v>72</v>
      </c>
      <c r="H59" s="1">
        <f>SUM(H41:H58)</f>
        <v>18</v>
      </c>
      <c r="I59" s="1">
        <f>SUM(I41:I58)</f>
        <v>0</v>
      </c>
      <c r="J59" s="1">
        <f>SUM(J41:J58)</f>
        <v>684</v>
      </c>
      <c r="K59" s="1"/>
      <c r="L59" s="1"/>
      <c r="M59" s="1"/>
      <c r="N59" s="1"/>
      <c r="O59" s="1"/>
    </row>
    <row r="60" spans="1:16" ht="15.95" customHeight="1" x14ac:dyDescent="0.25">
      <c r="A60" s="19" t="s">
        <v>322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"/>
    </row>
    <row r="61" spans="1:16" ht="20.100000000000001" customHeight="1" x14ac:dyDescent="0.25">
      <c r="A61" s="5">
        <v>36</v>
      </c>
      <c r="B61" s="5">
        <v>145</v>
      </c>
      <c r="C61" s="6" t="s">
        <v>323</v>
      </c>
      <c r="D61" s="5" t="s">
        <v>21</v>
      </c>
      <c r="E61" s="8" t="s">
        <v>81</v>
      </c>
      <c r="F61" s="5">
        <v>2</v>
      </c>
      <c r="G61" s="5">
        <v>4</v>
      </c>
      <c r="H61" s="5">
        <v>1</v>
      </c>
      <c r="I61" s="5">
        <v>0</v>
      </c>
      <c r="J61" s="5">
        <v>38</v>
      </c>
      <c r="K61" s="5">
        <v>40</v>
      </c>
      <c r="L61" s="5">
        <v>2</v>
      </c>
      <c r="M61" s="5">
        <v>0</v>
      </c>
      <c r="N61" s="5"/>
      <c r="O61" s="7" t="s">
        <v>82</v>
      </c>
    </row>
    <row r="62" spans="1:16" x14ac:dyDescent="0.25">
      <c r="A62" s="5">
        <v>37</v>
      </c>
      <c r="B62" s="5">
        <v>145</v>
      </c>
      <c r="C62" s="6" t="s">
        <v>323</v>
      </c>
      <c r="D62" s="5" t="s">
        <v>18</v>
      </c>
      <c r="E62" s="8" t="s">
        <v>39</v>
      </c>
      <c r="F62" s="5">
        <v>2</v>
      </c>
      <c r="G62" s="5">
        <v>4</v>
      </c>
      <c r="H62" s="5">
        <v>1</v>
      </c>
      <c r="I62" s="5">
        <v>0</v>
      </c>
      <c r="J62" s="5">
        <v>38</v>
      </c>
      <c r="K62" s="5">
        <v>40</v>
      </c>
      <c r="L62" s="5">
        <v>2</v>
      </c>
      <c r="M62" s="5">
        <v>0</v>
      </c>
      <c r="N62" s="5"/>
      <c r="O62" s="7" t="s">
        <v>82</v>
      </c>
    </row>
    <row r="63" spans="1:16" x14ac:dyDescent="0.25">
      <c r="A63" s="17" t="s">
        <v>324</v>
      </c>
      <c r="B63" s="13"/>
      <c r="C63" s="13"/>
      <c r="D63" s="13"/>
      <c r="E63" s="14"/>
      <c r="F63" s="1">
        <f>SUM(F61:F62)</f>
        <v>4</v>
      </c>
      <c r="G63" s="1">
        <f>SUM(G61:G62)</f>
        <v>8</v>
      </c>
      <c r="H63" s="1">
        <f>SUM(H61:H62)</f>
        <v>2</v>
      </c>
      <c r="I63" s="1">
        <f>SUM(I61:I62)</f>
        <v>0</v>
      </c>
      <c r="J63" s="1">
        <f>SUM(J61:J62)</f>
        <v>76</v>
      </c>
      <c r="K63" s="1"/>
      <c r="L63" s="1"/>
      <c r="M63" s="1"/>
      <c r="N63" s="1"/>
      <c r="O63" s="1"/>
    </row>
  </sheetData>
  <mergeCells count="39">
    <mergeCell ref="A24:O24"/>
    <mergeCell ref="K3:K4"/>
    <mergeCell ref="C3:C4"/>
    <mergeCell ref="A60:O60"/>
    <mergeCell ref="O3:O4"/>
    <mergeCell ref="E3:E4"/>
    <mergeCell ref="A37:O37"/>
    <mergeCell ref="A36:E36"/>
    <mergeCell ref="A28:O28"/>
    <mergeCell ref="A13:O13"/>
    <mergeCell ref="A19:O19"/>
    <mergeCell ref="A40:O40"/>
    <mergeCell ref="A63:E63"/>
    <mergeCell ref="A9:E9"/>
    <mergeCell ref="A2:Q2"/>
    <mergeCell ref="A33:E33"/>
    <mergeCell ref="J3:J4"/>
    <mergeCell ref="A23:E23"/>
    <mergeCell ref="A34:O34"/>
    <mergeCell ref="A5:O5"/>
    <mergeCell ref="A18:E18"/>
    <mergeCell ref="A27:E27"/>
    <mergeCell ref="A12:E12"/>
    <mergeCell ref="A10:O10"/>
    <mergeCell ref="A39:E39"/>
    <mergeCell ref="A59:E59"/>
    <mergeCell ref="A16:O16"/>
    <mergeCell ref="A15:E15"/>
    <mergeCell ref="A1:Q1"/>
    <mergeCell ref="A3:A4"/>
    <mergeCell ref="G3:G4"/>
    <mergeCell ref="M3:M4"/>
    <mergeCell ref="I3:I4"/>
    <mergeCell ref="D3:D4"/>
    <mergeCell ref="L3:L4"/>
    <mergeCell ref="B3:B4"/>
    <mergeCell ref="N3:N4"/>
    <mergeCell ref="F3:F4"/>
    <mergeCell ref="H3:H4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workbookViewId="0">
      <selection sqref="A1:E1"/>
    </sheetView>
  </sheetViews>
  <sheetFormatPr defaultRowHeight="15" x14ac:dyDescent="0.25"/>
  <cols>
    <col min="1" max="1" width="45" style="10" customWidth="1"/>
    <col min="2" max="2" width="42" style="10" customWidth="1"/>
    <col min="3" max="3" width="30" style="10" customWidth="1"/>
    <col min="4" max="4" width="40" style="10" customWidth="1"/>
    <col min="5" max="5" width="22" style="10" customWidth="1"/>
  </cols>
  <sheetData>
    <row r="1" spans="1:5" ht="24" customHeight="1" x14ac:dyDescent="0.25">
      <c r="A1" s="22" t="s">
        <v>83</v>
      </c>
      <c r="B1" s="13"/>
      <c r="C1" s="13"/>
      <c r="D1" s="13"/>
      <c r="E1" s="14"/>
    </row>
    <row r="2" spans="1:5" ht="35.1" customHeight="1" x14ac:dyDescent="0.25">
      <c r="A2" s="9" t="s">
        <v>84</v>
      </c>
      <c r="B2" s="9" t="s">
        <v>85</v>
      </c>
      <c r="C2" s="9" t="s">
        <v>86</v>
      </c>
      <c r="D2" s="9" t="s">
        <v>87</v>
      </c>
      <c r="E2" s="9" t="s">
        <v>88</v>
      </c>
    </row>
    <row r="4" spans="1:5" ht="27.95" customHeight="1" x14ac:dyDescent="0.25">
      <c r="A4" s="21" t="s">
        <v>89</v>
      </c>
      <c r="B4" s="13"/>
      <c r="C4" s="13"/>
      <c r="D4" s="13"/>
      <c r="E4" s="14"/>
    </row>
    <row r="5" spans="1:5" ht="18" customHeight="1" x14ac:dyDescent="0.25">
      <c r="A5" s="3"/>
      <c r="B5" s="3" t="s">
        <v>90</v>
      </c>
      <c r="C5" s="3" t="s">
        <v>91</v>
      </c>
      <c r="D5" s="3" t="s">
        <v>92</v>
      </c>
      <c r="E5" s="4" t="s">
        <v>93</v>
      </c>
    </row>
    <row r="6" spans="1:5" ht="18" customHeight="1" x14ac:dyDescent="0.25">
      <c r="A6" s="6"/>
      <c r="B6" s="6" t="s">
        <v>94</v>
      </c>
      <c r="C6" s="6" t="s">
        <v>95</v>
      </c>
      <c r="D6" s="6" t="s">
        <v>96</v>
      </c>
      <c r="E6" s="5" t="s">
        <v>97</v>
      </c>
    </row>
    <row r="7" spans="1:5" ht="18" customHeight="1" x14ac:dyDescent="0.25">
      <c r="A7" s="3"/>
      <c r="B7" s="3" t="s">
        <v>98</v>
      </c>
      <c r="C7" s="3" t="s">
        <v>99</v>
      </c>
      <c r="D7" s="3" t="s">
        <v>96</v>
      </c>
      <c r="E7" s="4" t="s">
        <v>97</v>
      </c>
    </row>
    <row r="8" spans="1:5" ht="18" customHeight="1" x14ac:dyDescent="0.25">
      <c r="A8" s="6"/>
      <c r="B8" s="6" t="s">
        <v>100</v>
      </c>
      <c r="C8" s="6" t="s">
        <v>101</v>
      </c>
      <c r="D8" s="6" t="s">
        <v>102</v>
      </c>
      <c r="E8" s="5" t="s">
        <v>97</v>
      </c>
    </row>
    <row r="9" spans="1:5" ht="18" customHeight="1" x14ac:dyDescent="0.25">
      <c r="A9" s="3"/>
      <c r="B9" s="3" t="s">
        <v>103</v>
      </c>
      <c r="C9" s="3" t="s">
        <v>104</v>
      </c>
      <c r="D9" s="3" t="s">
        <v>105</v>
      </c>
      <c r="E9" s="4" t="s">
        <v>97</v>
      </c>
    </row>
    <row r="10" spans="1:5" ht="18" customHeight="1" x14ac:dyDescent="0.25">
      <c r="A10" s="6"/>
      <c r="B10" s="6" t="s">
        <v>106</v>
      </c>
      <c r="C10" s="6" t="s">
        <v>107</v>
      </c>
      <c r="D10" s="6" t="s">
        <v>107</v>
      </c>
      <c r="E10" s="5" t="s">
        <v>108</v>
      </c>
    </row>
    <row r="12" spans="1:5" ht="27.95" customHeight="1" x14ac:dyDescent="0.25">
      <c r="A12" s="21" t="s">
        <v>109</v>
      </c>
      <c r="B12" s="13"/>
      <c r="C12" s="13"/>
      <c r="D12" s="13"/>
      <c r="E12" s="14"/>
    </row>
    <row r="13" spans="1:5" ht="18" customHeight="1" x14ac:dyDescent="0.25">
      <c r="A13" s="3"/>
      <c r="B13" s="3" t="s">
        <v>90</v>
      </c>
      <c r="C13" s="3" t="s">
        <v>110</v>
      </c>
      <c r="D13" s="3" t="s">
        <v>107</v>
      </c>
      <c r="E13" s="4" t="s">
        <v>111</v>
      </c>
    </row>
    <row r="14" spans="1:5" ht="18" customHeight="1" x14ac:dyDescent="0.25">
      <c r="A14" s="6"/>
      <c r="B14" s="6" t="s">
        <v>100</v>
      </c>
      <c r="C14" s="6" t="s">
        <v>112</v>
      </c>
      <c r="D14" s="6" t="s">
        <v>113</v>
      </c>
      <c r="E14" s="5" t="s">
        <v>111</v>
      </c>
    </row>
    <row r="15" spans="1:5" ht="18" customHeight="1" x14ac:dyDescent="0.25">
      <c r="A15" s="3"/>
      <c r="B15" s="3" t="s">
        <v>114</v>
      </c>
      <c r="C15" s="3" t="s">
        <v>115</v>
      </c>
      <c r="D15" s="3" t="s">
        <v>107</v>
      </c>
      <c r="E15" s="4" t="s">
        <v>116</v>
      </c>
    </row>
    <row r="16" spans="1:5" ht="18" customHeight="1" x14ac:dyDescent="0.25">
      <c r="A16" s="6"/>
      <c r="B16" s="6" t="s">
        <v>117</v>
      </c>
      <c r="C16" s="6" t="s">
        <v>118</v>
      </c>
      <c r="D16" s="6" t="s">
        <v>119</v>
      </c>
      <c r="E16" s="5" t="s">
        <v>111</v>
      </c>
    </row>
    <row r="17" spans="1:5" ht="18" customHeight="1" x14ac:dyDescent="0.25">
      <c r="A17" s="3"/>
      <c r="B17" s="3" t="s">
        <v>120</v>
      </c>
      <c r="C17" s="3" t="s">
        <v>121</v>
      </c>
      <c r="D17" s="3" t="s">
        <v>122</v>
      </c>
      <c r="E17" s="4" t="s">
        <v>123</v>
      </c>
    </row>
    <row r="18" spans="1:5" ht="18" customHeight="1" x14ac:dyDescent="0.25">
      <c r="A18" s="6"/>
      <c r="B18" s="6" t="s">
        <v>124</v>
      </c>
      <c r="C18" s="6" t="s">
        <v>107</v>
      </c>
      <c r="D18" s="6" t="s">
        <v>107</v>
      </c>
      <c r="E18" s="5" t="s">
        <v>125</v>
      </c>
    </row>
    <row r="20" spans="1:5" ht="27.95" customHeight="1" x14ac:dyDescent="0.25">
      <c r="A20" s="21" t="s">
        <v>126</v>
      </c>
      <c r="B20" s="13"/>
      <c r="C20" s="13"/>
      <c r="D20" s="13"/>
      <c r="E20" s="14"/>
    </row>
    <row r="21" spans="1:5" ht="18" customHeight="1" x14ac:dyDescent="0.25">
      <c r="A21" s="3"/>
      <c r="B21" s="3" t="s">
        <v>90</v>
      </c>
      <c r="C21" s="3" t="s">
        <v>127</v>
      </c>
      <c r="D21" s="3" t="s">
        <v>128</v>
      </c>
      <c r="E21" s="4" t="s">
        <v>129</v>
      </c>
    </row>
    <row r="22" spans="1:5" ht="18" customHeight="1" x14ac:dyDescent="0.25">
      <c r="A22" s="6"/>
      <c r="B22" s="6" t="s">
        <v>100</v>
      </c>
      <c r="C22" s="6" t="s">
        <v>130</v>
      </c>
      <c r="D22" s="6" t="s">
        <v>131</v>
      </c>
      <c r="E22" s="5" t="s">
        <v>132</v>
      </c>
    </row>
    <row r="23" spans="1:5" ht="18" customHeight="1" x14ac:dyDescent="0.25">
      <c r="A23" s="3"/>
      <c r="B23" s="3" t="s">
        <v>98</v>
      </c>
      <c r="C23" s="3" t="s">
        <v>133</v>
      </c>
      <c r="D23" s="3" t="s">
        <v>134</v>
      </c>
      <c r="E23" s="4" t="s">
        <v>135</v>
      </c>
    </row>
    <row r="24" spans="1:5" ht="18" customHeight="1" x14ac:dyDescent="0.25">
      <c r="A24" s="6"/>
      <c r="B24" s="6" t="s">
        <v>103</v>
      </c>
      <c r="C24" s="6" t="s">
        <v>136</v>
      </c>
      <c r="D24" s="6" t="s">
        <v>107</v>
      </c>
      <c r="E24" s="5" t="s">
        <v>132</v>
      </c>
    </row>
    <row r="25" spans="1:5" ht="18" customHeight="1" x14ac:dyDescent="0.25">
      <c r="A25" s="3"/>
      <c r="B25" s="3" t="s">
        <v>124</v>
      </c>
      <c r="C25" s="3" t="s">
        <v>107</v>
      </c>
      <c r="D25" s="3" t="s">
        <v>107</v>
      </c>
      <c r="E25" s="4" t="s">
        <v>137</v>
      </c>
    </row>
    <row r="26" spans="1:5" ht="18" customHeight="1" x14ac:dyDescent="0.25">
      <c r="A26" s="6"/>
      <c r="B26" s="6" t="s">
        <v>138</v>
      </c>
      <c r="C26" s="6" t="s">
        <v>107</v>
      </c>
      <c r="D26" s="6" t="s">
        <v>107</v>
      </c>
      <c r="E26" s="5" t="s">
        <v>139</v>
      </c>
    </row>
    <row r="27" spans="1:5" ht="18" customHeight="1" x14ac:dyDescent="0.25">
      <c r="A27" s="3"/>
      <c r="B27" s="3" t="s">
        <v>140</v>
      </c>
      <c r="C27" s="3" t="s">
        <v>107</v>
      </c>
      <c r="D27" s="3" t="s">
        <v>107</v>
      </c>
      <c r="E27" s="4" t="s">
        <v>141</v>
      </c>
    </row>
    <row r="29" spans="1:5" ht="27.95" customHeight="1" x14ac:dyDescent="0.25">
      <c r="A29" s="21" t="s">
        <v>142</v>
      </c>
      <c r="B29" s="13"/>
      <c r="C29" s="13"/>
      <c r="D29" s="13"/>
      <c r="E29" s="14"/>
    </row>
    <row r="30" spans="1:5" ht="18" customHeight="1" x14ac:dyDescent="0.25">
      <c r="A30" s="3"/>
      <c r="B30" s="3" t="s">
        <v>90</v>
      </c>
      <c r="C30" s="3" t="s">
        <v>127</v>
      </c>
      <c r="D30" s="3" t="s">
        <v>128</v>
      </c>
      <c r="E30" s="4" t="s">
        <v>129</v>
      </c>
    </row>
    <row r="31" spans="1:5" ht="18" customHeight="1" x14ac:dyDescent="0.25">
      <c r="A31" s="6"/>
      <c r="B31" s="6" t="s">
        <v>100</v>
      </c>
      <c r="C31" s="6" t="s">
        <v>130</v>
      </c>
      <c r="D31" s="6" t="s">
        <v>131</v>
      </c>
      <c r="E31" s="5" t="s">
        <v>132</v>
      </c>
    </row>
    <row r="32" spans="1:5" ht="18" customHeight="1" x14ac:dyDescent="0.25">
      <c r="A32" s="3"/>
      <c r="B32" s="3" t="s">
        <v>98</v>
      </c>
      <c r="C32" s="3" t="s">
        <v>133</v>
      </c>
      <c r="D32" s="3" t="s">
        <v>134</v>
      </c>
      <c r="E32" s="4" t="s">
        <v>135</v>
      </c>
    </row>
    <row r="33" spans="1:5" ht="18" customHeight="1" x14ac:dyDescent="0.25">
      <c r="A33" s="6"/>
      <c r="B33" s="6" t="s">
        <v>103</v>
      </c>
      <c r="C33" s="6" t="s">
        <v>136</v>
      </c>
      <c r="D33" s="6" t="s">
        <v>107</v>
      </c>
      <c r="E33" s="5" t="s">
        <v>132</v>
      </c>
    </row>
    <row r="34" spans="1:5" ht="18" customHeight="1" x14ac:dyDescent="0.25">
      <c r="A34" s="3"/>
      <c r="B34" s="3" t="s">
        <v>124</v>
      </c>
      <c r="C34" s="3" t="s">
        <v>107</v>
      </c>
      <c r="D34" s="3" t="s">
        <v>107</v>
      </c>
      <c r="E34" s="4" t="s">
        <v>137</v>
      </c>
    </row>
    <row r="35" spans="1:5" ht="18" customHeight="1" x14ac:dyDescent="0.25">
      <c r="A35" s="6"/>
      <c r="B35" s="6" t="s">
        <v>138</v>
      </c>
      <c r="C35" s="6" t="s">
        <v>107</v>
      </c>
      <c r="D35" s="6" t="s">
        <v>107</v>
      </c>
      <c r="E35" s="5" t="s">
        <v>139</v>
      </c>
    </row>
    <row r="36" spans="1:5" ht="18" customHeight="1" x14ac:dyDescent="0.25">
      <c r="A36" s="3"/>
      <c r="B36" s="3" t="s">
        <v>140</v>
      </c>
      <c r="C36" s="3" t="s">
        <v>107</v>
      </c>
      <c r="D36" s="3" t="s">
        <v>107</v>
      </c>
      <c r="E36" s="4" t="s">
        <v>141</v>
      </c>
    </row>
    <row r="38" spans="1:5" ht="27.95" customHeight="1" x14ac:dyDescent="0.25">
      <c r="A38" s="21" t="s">
        <v>143</v>
      </c>
      <c r="B38" s="13"/>
      <c r="C38" s="13"/>
      <c r="D38" s="13"/>
      <c r="E38" s="14"/>
    </row>
    <row r="39" spans="1:5" ht="18" customHeight="1" x14ac:dyDescent="0.25">
      <c r="A39" s="3"/>
      <c r="B39" s="3" t="s">
        <v>90</v>
      </c>
      <c r="C39" s="3" t="s">
        <v>144</v>
      </c>
      <c r="D39" s="3" t="s">
        <v>145</v>
      </c>
      <c r="E39" s="4" t="s">
        <v>129</v>
      </c>
    </row>
    <row r="40" spans="1:5" ht="18" customHeight="1" x14ac:dyDescent="0.25">
      <c r="A40" s="6"/>
      <c r="B40" s="6" t="s">
        <v>100</v>
      </c>
      <c r="C40" s="6" t="s">
        <v>146</v>
      </c>
      <c r="D40" s="6" t="s">
        <v>147</v>
      </c>
      <c r="E40" s="5" t="s">
        <v>132</v>
      </c>
    </row>
    <row r="41" spans="1:5" ht="18" customHeight="1" x14ac:dyDescent="0.25">
      <c r="A41" s="3"/>
      <c r="B41" s="3" t="s">
        <v>148</v>
      </c>
      <c r="C41" s="3" t="s">
        <v>149</v>
      </c>
      <c r="D41" s="3" t="s">
        <v>150</v>
      </c>
      <c r="E41" s="4" t="s">
        <v>132</v>
      </c>
    </row>
    <row r="42" spans="1:5" ht="18" customHeight="1" x14ac:dyDescent="0.25">
      <c r="A42" s="6"/>
      <c r="B42" s="6" t="s">
        <v>98</v>
      </c>
      <c r="C42" s="6" t="s">
        <v>151</v>
      </c>
      <c r="D42" s="6" t="s">
        <v>152</v>
      </c>
      <c r="E42" s="5" t="s">
        <v>132</v>
      </c>
    </row>
    <row r="43" spans="1:5" ht="18" customHeight="1" x14ac:dyDescent="0.25">
      <c r="A43" s="3"/>
      <c r="B43" s="3" t="s">
        <v>153</v>
      </c>
      <c r="C43" s="3" t="s">
        <v>154</v>
      </c>
      <c r="D43" s="3" t="s">
        <v>155</v>
      </c>
      <c r="E43" s="4" t="s">
        <v>156</v>
      </c>
    </row>
    <row r="44" spans="1:5" ht="18" customHeight="1" x14ac:dyDescent="0.25">
      <c r="A44" s="6"/>
      <c r="B44" s="6" t="s">
        <v>157</v>
      </c>
      <c r="C44" s="6" t="s">
        <v>158</v>
      </c>
      <c r="D44" s="6" t="s">
        <v>159</v>
      </c>
      <c r="E44" s="5" t="s">
        <v>156</v>
      </c>
    </row>
    <row r="45" spans="1:5" ht="18" customHeight="1" x14ac:dyDescent="0.25">
      <c r="A45" s="3"/>
      <c r="B45" s="3" t="s">
        <v>160</v>
      </c>
      <c r="C45" s="3" t="s">
        <v>161</v>
      </c>
      <c r="D45" s="3" t="s">
        <v>107</v>
      </c>
      <c r="E45" s="4" t="s">
        <v>156</v>
      </c>
    </row>
    <row r="46" spans="1:5" ht="18" customHeight="1" x14ac:dyDescent="0.25">
      <c r="A46" s="6"/>
      <c r="B46" s="6" t="s">
        <v>160</v>
      </c>
      <c r="C46" s="6" t="s">
        <v>162</v>
      </c>
      <c r="D46" s="6" t="s">
        <v>107</v>
      </c>
      <c r="E46" s="5" t="s">
        <v>156</v>
      </c>
    </row>
    <row r="47" spans="1:5" ht="18" customHeight="1" x14ac:dyDescent="0.25">
      <c r="A47" s="3"/>
      <c r="B47" s="3" t="s">
        <v>163</v>
      </c>
      <c r="C47" s="3" t="s">
        <v>164</v>
      </c>
      <c r="D47" s="3" t="s">
        <v>107</v>
      </c>
      <c r="E47" s="4" t="s">
        <v>156</v>
      </c>
    </row>
    <row r="48" spans="1:5" ht="18" customHeight="1" x14ac:dyDescent="0.25">
      <c r="A48" s="6"/>
      <c r="B48" s="6" t="s">
        <v>165</v>
      </c>
      <c r="C48" s="6" t="s">
        <v>107</v>
      </c>
      <c r="D48" s="6" t="s">
        <v>107</v>
      </c>
      <c r="E48" s="5" t="s">
        <v>166</v>
      </c>
    </row>
    <row r="49" spans="1:5" ht="18" customHeight="1" x14ac:dyDescent="0.25">
      <c r="A49" s="3"/>
      <c r="B49" s="3" t="s">
        <v>167</v>
      </c>
      <c r="C49" s="3" t="s">
        <v>107</v>
      </c>
      <c r="D49" s="3" t="s">
        <v>107</v>
      </c>
      <c r="E49" s="4" t="s">
        <v>168</v>
      </c>
    </row>
    <row r="50" spans="1:5" ht="18" customHeight="1" x14ac:dyDescent="0.25">
      <c r="A50" s="6"/>
      <c r="B50" s="6" t="s">
        <v>169</v>
      </c>
      <c r="C50" s="6" t="s">
        <v>107</v>
      </c>
      <c r="D50" s="6" t="s">
        <v>107</v>
      </c>
      <c r="E50" s="5" t="s">
        <v>170</v>
      </c>
    </row>
    <row r="51" spans="1:5" ht="18" customHeight="1" x14ac:dyDescent="0.25">
      <c r="A51" s="3"/>
      <c r="B51" s="3" t="s">
        <v>171</v>
      </c>
      <c r="C51" s="3" t="s">
        <v>107</v>
      </c>
      <c r="D51" s="3" t="s">
        <v>107</v>
      </c>
      <c r="E51" s="4" t="s">
        <v>172</v>
      </c>
    </row>
    <row r="53" spans="1:5" ht="27.95" customHeight="1" x14ac:dyDescent="0.25">
      <c r="A53" s="21" t="s">
        <v>173</v>
      </c>
      <c r="B53" s="13"/>
      <c r="C53" s="13"/>
      <c r="D53" s="13"/>
      <c r="E53" s="14"/>
    </row>
    <row r="54" spans="1:5" ht="18" customHeight="1" x14ac:dyDescent="0.25">
      <c r="A54" s="3"/>
      <c r="B54" s="3" t="s">
        <v>90</v>
      </c>
      <c r="C54" s="3" t="s">
        <v>174</v>
      </c>
      <c r="D54" s="3" t="s">
        <v>175</v>
      </c>
      <c r="E54" s="4" t="s">
        <v>132</v>
      </c>
    </row>
    <row r="55" spans="1:5" ht="18" customHeight="1" x14ac:dyDescent="0.25">
      <c r="A55" s="6"/>
      <c r="B55" s="6" t="s">
        <v>176</v>
      </c>
      <c r="C55" s="6" t="s">
        <v>177</v>
      </c>
      <c r="D55" s="6" t="s">
        <v>178</v>
      </c>
      <c r="E55" s="5" t="s">
        <v>132</v>
      </c>
    </row>
    <row r="56" spans="1:5" ht="18" customHeight="1" x14ac:dyDescent="0.25">
      <c r="A56" s="3"/>
      <c r="B56" s="3" t="s">
        <v>100</v>
      </c>
      <c r="C56" s="3" t="s">
        <v>179</v>
      </c>
      <c r="D56" s="3" t="s">
        <v>180</v>
      </c>
      <c r="E56" s="4" t="s">
        <v>129</v>
      </c>
    </row>
    <row r="57" spans="1:5" ht="18" customHeight="1" x14ac:dyDescent="0.25">
      <c r="A57" s="6"/>
      <c r="B57" s="6" t="s">
        <v>181</v>
      </c>
      <c r="C57" s="6" t="s">
        <v>182</v>
      </c>
      <c r="D57" s="6" t="s">
        <v>183</v>
      </c>
      <c r="E57" s="5" t="s">
        <v>132</v>
      </c>
    </row>
    <row r="58" spans="1:5" ht="18" customHeight="1" x14ac:dyDescent="0.25">
      <c r="A58" s="3"/>
      <c r="B58" s="3" t="s">
        <v>184</v>
      </c>
      <c r="C58" s="3" t="s">
        <v>185</v>
      </c>
      <c r="D58" s="3" t="s">
        <v>186</v>
      </c>
      <c r="E58" s="4" t="s">
        <v>132</v>
      </c>
    </row>
    <row r="59" spans="1:5" ht="18" customHeight="1" x14ac:dyDescent="0.25">
      <c r="A59" s="6"/>
      <c r="B59" s="6" t="s">
        <v>187</v>
      </c>
      <c r="C59" s="6" t="s">
        <v>188</v>
      </c>
      <c r="D59" s="6" t="s">
        <v>107</v>
      </c>
      <c r="E59" s="5" t="s">
        <v>189</v>
      </c>
    </row>
    <row r="60" spans="1:5" ht="18" customHeight="1" x14ac:dyDescent="0.25">
      <c r="A60" s="3"/>
      <c r="B60" s="3" t="s">
        <v>187</v>
      </c>
      <c r="C60" s="3" t="s">
        <v>190</v>
      </c>
      <c r="D60" s="3" t="s">
        <v>107</v>
      </c>
      <c r="E60" s="4" t="s">
        <v>156</v>
      </c>
    </row>
    <row r="61" spans="1:5" ht="18" customHeight="1" x14ac:dyDescent="0.25">
      <c r="A61" s="6"/>
      <c r="B61" s="6" t="s">
        <v>191</v>
      </c>
      <c r="C61" s="6" t="s">
        <v>107</v>
      </c>
      <c r="D61" s="6" t="s">
        <v>107</v>
      </c>
      <c r="E61" s="5" t="s">
        <v>139</v>
      </c>
    </row>
    <row r="62" spans="1:5" ht="18" customHeight="1" x14ac:dyDescent="0.25">
      <c r="A62" s="3"/>
      <c r="B62" s="3" t="s">
        <v>192</v>
      </c>
      <c r="C62" s="3" t="s">
        <v>107</v>
      </c>
      <c r="D62" s="3" t="s">
        <v>107</v>
      </c>
      <c r="E62" s="4" t="s">
        <v>193</v>
      </c>
    </row>
    <row r="63" spans="1:5" ht="18" customHeight="1" x14ac:dyDescent="0.25">
      <c r="A63" s="6"/>
      <c r="B63" s="6" t="s">
        <v>194</v>
      </c>
      <c r="C63" s="6" t="s">
        <v>107</v>
      </c>
      <c r="D63" s="6" t="s">
        <v>107</v>
      </c>
      <c r="E63" s="5" t="s">
        <v>195</v>
      </c>
    </row>
    <row r="65" spans="1:5" ht="27.95" customHeight="1" x14ac:dyDescent="0.25">
      <c r="A65" s="21" t="s">
        <v>196</v>
      </c>
      <c r="B65" s="13"/>
      <c r="C65" s="13"/>
      <c r="D65" s="13"/>
      <c r="E65" s="14"/>
    </row>
    <row r="66" spans="1:5" ht="18" customHeight="1" x14ac:dyDescent="0.25">
      <c r="A66" s="3"/>
      <c r="B66" s="3" t="s">
        <v>90</v>
      </c>
      <c r="C66" s="3" t="s">
        <v>107</v>
      </c>
      <c r="D66" s="3" t="s">
        <v>175</v>
      </c>
      <c r="E66" s="4" t="s">
        <v>156</v>
      </c>
    </row>
    <row r="67" spans="1:5" ht="18" customHeight="1" x14ac:dyDescent="0.25">
      <c r="A67" s="6"/>
      <c r="B67" s="6" t="s">
        <v>176</v>
      </c>
      <c r="C67" s="6" t="s">
        <v>107</v>
      </c>
      <c r="D67" s="6" t="s">
        <v>178</v>
      </c>
      <c r="E67" s="5" t="s">
        <v>156</v>
      </c>
    </row>
    <row r="68" spans="1:5" ht="18" customHeight="1" x14ac:dyDescent="0.25">
      <c r="A68" s="3"/>
      <c r="B68" s="3" t="s">
        <v>100</v>
      </c>
      <c r="C68" s="3" t="s">
        <v>107</v>
      </c>
      <c r="D68" s="3" t="s">
        <v>180</v>
      </c>
      <c r="E68" s="4" t="s">
        <v>189</v>
      </c>
    </row>
    <row r="69" spans="1:5" ht="18" customHeight="1" x14ac:dyDescent="0.25">
      <c r="A69" s="6"/>
      <c r="B69" s="6" t="s">
        <v>191</v>
      </c>
      <c r="C69" s="6" t="s">
        <v>107</v>
      </c>
      <c r="D69" s="6" t="s">
        <v>107</v>
      </c>
      <c r="E69" s="5" t="s">
        <v>197</v>
      </c>
    </row>
    <row r="71" spans="1:5" ht="27.95" customHeight="1" x14ac:dyDescent="0.25">
      <c r="A71" s="21" t="s">
        <v>198</v>
      </c>
      <c r="B71" s="13"/>
      <c r="C71" s="13"/>
      <c r="D71" s="13"/>
      <c r="E71" s="14"/>
    </row>
    <row r="72" spans="1:5" ht="18" customHeight="1" x14ac:dyDescent="0.25">
      <c r="A72" s="3"/>
      <c r="B72" s="3" t="s">
        <v>90</v>
      </c>
      <c r="C72" s="3" t="s">
        <v>107</v>
      </c>
      <c r="D72" s="3" t="s">
        <v>175</v>
      </c>
      <c r="E72" s="4" t="s">
        <v>97</v>
      </c>
    </row>
    <row r="73" spans="1:5" ht="18" customHeight="1" x14ac:dyDescent="0.25">
      <c r="A73" s="6"/>
      <c r="B73" s="6" t="s">
        <v>176</v>
      </c>
      <c r="C73" s="6" t="s">
        <v>107</v>
      </c>
      <c r="D73" s="6" t="s">
        <v>178</v>
      </c>
      <c r="E73" s="5" t="s">
        <v>97</v>
      </c>
    </row>
    <row r="74" spans="1:5" ht="18" customHeight="1" x14ac:dyDescent="0.25">
      <c r="A74" s="3"/>
      <c r="B74" s="3" t="s">
        <v>100</v>
      </c>
      <c r="C74" s="3" t="s">
        <v>107</v>
      </c>
      <c r="D74" s="3" t="s">
        <v>180</v>
      </c>
      <c r="E74" s="4" t="s">
        <v>93</v>
      </c>
    </row>
    <row r="75" spans="1:5" ht="18" customHeight="1" x14ac:dyDescent="0.25">
      <c r="A75" s="6"/>
      <c r="B75" s="6" t="s">
        <v>199</v>
      </c>
      <c r="C75" s="6" t="s">
        <v>107</v>
      </c>
      <c r="D75" s="6" t="s">
        <v>183</v>
      </c>
      <c r="E75" s="5" t="s">
        <v>156</v>
      </c>
    </row>
    <row r="76" spans="1:5" ht="18" customHeight="1" x14ac:dyDescent="0.25">
      <c r="A76" s="3"/>
      <c r="B76" s="3" t="s">
        <v>200</v>
      </c>
      <c r="C76" s="3" t="s">
        <v>107</v>
      </c>
      <c r="D76" s="3" t="s">
        <v>186</v>
      </c>
      <c r="E76" s="4" t="s">
        <v>156</v>
      </c>
    </row>
    <row r="77" spans="1:5" ht="18" customHeight="1" x14ac:dyDescent="0.25">
      <c r="A77" s="6"/>
      <c r="B77" s="6" t="s">
        <v>191</v>
      </c>
      <c r="C77" s="6" t="s">
        <v>107</v>
      </c>
      <c r="D77" s="6" t="s">
        <v>107</v>
      </c>
      <c r="E77" s="5" t="s">
        <v>201</v>
      </c>
    </row>
    <row r="79" spans="1:5" ht="27.95" customHeight="1" x14ac:dyDescent="0.25">
      <c r="A79" s="21" t="s">
        <v>202</v>
      </c>
      <c r="B79" s="13"/>
      <c r="C79" s="13"/>
      <c r="D79" s="13"/>
      <c r="E79" s="14"/>
    </row>
    <row r="80" spans="1:5" ht="18" customHeight="1" x14ac:dyDescent="0.25">
      <c r="A80" s="3"/>
      <c r="B80" s="3" t="s">
        <v>90</v>
      </c>
      <c r="C80" s="3" t="s">
        <v>203</v>
      </c>
      <c r="D80" s="3" t="s">
        <v>204</v>
      </c>
      <c r="E80" s="4" t="s">
        <v>132</v>
      </c>
    </row>
    <row r="81" spans="1:5" ht="18" customHeight="1" x14ac:dyDescent="0.25">
      <c r="A81" s="6"/>
      <c r="B81" s="6" t="s">
        <v>100</v>
      </c>
      <c r="C81" s="6" t="s">
        <v>205</v>
      </c>
      <c r="D81" s="6" t="s">
        <v>206</v>
      </c>
      <c r="E81" s="5" t="s">
        <v>129</v>
      </c>
    </row>
    <row r="82" spans="1:5" ht="18" customHeight="1" x14ac:dyDescent="0.25">
      <c r="A82" s="3"/>
      <c r="B82" s="3" t="s">
        <v>207</v>
      </c>
      <c r="C82" s="3" t="s">
        <v>208</v>
      </c>
      <c r="D82" s="3" t="s">
        <v>209</v>
      </c>
      <c r="E82" s="4" t="s">
        <v>132</v>
      </c>
    </row>
    <row r="83" spans="1:5" ht="18" customHeight="1" x14ac:dyDescent="0.25">
      <c r="A83" s="6"/>
      <c r="B83" s="6" t="s">
        <v>210</v>
      </c>
      <c r="C83" s="6" t="s">
        <v>211</v>
      </c>
      <c r="D83" s="6" t="s">
        <v>212</v>
      </c>
      <c r="E83" s="5" t="s">
        <v>132</v>
      </c>
    </row>
    <row r="84" spans="1:5" ht="18" customHeight="1" x14ac:dyDescent="0.25">
      <c r="A84" s="3"/>
      <c r="B84" s="3" t="s">
        <v>213</v>
      </c>
      <c r="C84" s="3" t="s">
        <v>214</v>
      </c>
      <c r="D84" s="3" t="s">
        <v>215</v>
      </c>
      <c r="E84" s="4" t="s">
        <v>156</v>
      </c>
    </row>
    <row r="85" spans="1:5" ht="18" customHeight="1" x14ac:dyDescent="0.25">
      <c r="A85" s="6"/>
      <c r="B85" s="6" t="s">
        <v>216</v>
      </c>
      <c r="C85" s="6" t="s">
        <v>217</v>
      </c>
      <c r="D85" s="6" t="s">
        <v>218</v>
      </c>
      <c r="E85" s="5" t="s">
        <v>156</v>
      </c>
    </row>
    <row r="86" spans="1:5" ht="18" customHeight="1" x14ac:dyDescent="0.25">
      <c r="A86" s="3"/>
      <c r="B86" s="3" t="s">
        <v>187</v>
      </c>
      <c r="C86" s="3" t="s">
        <v>219</v>
      </c>
      <c r="D86" s="3" t="s">
        <v>107</v>
      </c>
      <c r="E86" s="4" t="s">
        <v>189</v>
      </c>
    </row>
    <row r="87" spans="1:5" ht="18" customHeight="1" x14ac:dyDescent="0.25">
      <c r="A87" s="6"/>
      <c r="B87" s="6" t="s">
        <v>220</v>
      </c>
      <c r="C87" s="6" t="s">
        <v>221</v>
      </c>
      <c r="D87" s="6" t="s">
        <v>222</v>
      </c>
      <c r="E87" s="5" t="s">
        <v>156</v>
      </c>
    </row>
    <row r="89" spans="1:5" ht="27.95" customHeight="1" x14ac:dyDescent="0.25">
      <c r="A89" s="21" t="s">
        <v>223</v>
      </c>
      <c r="B89" s="13"/>
      <c r="C89" s="13"/>
      <c r="D89" s="13"/>
      <c r="E89" s="14"/>
    </row>
    <row r="90" spans="1:5" ht="18" customHeight="1" x14ac:dyDescent="0.25">
      <c r="A90" s="3"/>
      <c r="B90" s="3" t="s">
        <v>90</v>
      </c>
      <c r="C90" s="3" t="s">
        <v>224</v>
      </c>
      <c r="D90" s="3" t="s">
        <v>225</v>
      </c>
      <c r="E90" s="4" t="s">
        <v>132</v>
      </c>
    </row>
    <row r="91" spans="1:5" ht="18" customHeight="1" x14ac:dyDescent="0.25">
      <c r="A91" s="6"/>
      <c r="B91" s="6" t="s">
        <v>226</v>
      </c>
      <c r="C91" s="6" t="s">
        <v>227</v>
      </c>
      <c r="D91" s="6" t="s">
        <v>228</v>
      </c>
      <c r="E91" s="5" t="s">
        <v>129</v>
      </c>
    </row>
    <row r="92" spans="1:5" ht="18" customHeight="1" x14ac:dyDescent="0.25">
      <c r="A92" s="3"/>
      <c r="B92" s="3" t="s">
        <v>229</v>
      </c>
      <c r="C92" s="3" t="s">
        <v>107</v>
      </c>
      <c r="D92" s="3" t="s">
        <v>230</v>
      </c>
      <c r="E92" s="4" t="s">
        <v>132</v>
      </c>
    </row>
    <row r="93" spans="1:5" ht="18" customHeight="1" x14ac:dyDescent="0.25">
      <c r="A93" s="6"/>
      <c r="B93" s="6" t="s">
        <v>181</v>
      </c>
      <c r="C93" s="6" t="s">
        <v>231</v>
      </c>
      <c r="D93" s="6" t="s">
        <v>232</v>
      </c>
      <c r="E93" s="5" t="s">
        <v>132</v>
      </c>
    </row>
    <row r="94" spans="1:5" ht="18" customHeight="1" x14ac:dyDescent="0.25">
      <c r="A94" s="3"/>
      <c r="B94" s="3" t="s">
        <v>184</v>
      </c>
      <c r="C94" s="3" t="s">
        <v>233</v>
      </c>
      <c r="D94" s="3" t="s">
        <v>234</v>
      </c>
      <c r="E94" s="4" t="s">
        <v>132</v>
      </c>
    </row>
    <row r="95" spans="1:5" ht="18" customHeight="1" x14ac:dyDescent="0.25">
      <c r="A95" s="6"/>
      <c r="B95" s="6" t="s">
        <v>235</v>
      </c>
      <c r="C95" s="6" t="s">
        <v>236</v>
      </c>
      <c r="D95" s="6" t="s">
        <v>237</v>
      </c>
      <c r="E95" s="5" t="s">
        <v>156</v>
      </c>
    </row>
    <row r="96" spans="1:5" ht="18" customHeight="1" x14ac:dyDescent="0.25">
      <c r="A96" s="3"/>
      <c r="B96" s="3" t="s">
        <v>235</v>
      </c>
      <c r="C96" s="3" t="s">
        <v>238</v>
      </c>
      <c r="D96" s="3" t="s">
        <v>239</v>
      </c>
      <c r="E96" s="4" t="s">
        <v>189</v>
      </c>
    </row>
    <row r="97" spans="1:5" ht="18" customHeight="1" x14ac:dyDescent="0.25">
      <c r="A97" s="6"/>
      <c r="B97" s="6" t="s">
        <v>240</v>
      </c>
      <c r="C97" s="6" t="s">
        <v>241</v>
      </c>
      <c r="D97" s="6" t="s">
        <v>242</v>
      </c>
      <c r="E97" s="5" t="s">
        <v>156</v>
      </c>
    </row>
    <row r="98" spans="1:5" ht="18" customHeight="1" x14ac:dyDescent="0.25">
      <c r="A98" s="3"/>
      <c r="B98" s="3" t="s">
        <v>243</v>
      </c>
      <c r="C98" s="3" t="s">
        <v>244</v>
      </c>
      <c r="D98" s="3" t="s">
        <v>245</v>
      </c>
      <c r="E98" s="4" t="s">
        <v>156</v>
      </c>
    </row>
    <row r="99" spans="1:5" ht="18" customHeight="1" x14ac:dyDescent="0.25">
      <c r="A99" s="6"/>
      <c r="B99" s="6" t="s">
        <v>124</v>
      </c>
      <c r="C99" s="6" t="s">
        <v>107</v>
      </c>
      <c r="D99" s="6" t="s">
        <v>107</v>
      </c>
      <c r="E99" s="5" t="s">
        <v>137</v>
      </c>
    </row>
    <row r="100" spans="1:5" ht="18" customHeight="1" x14ac:dyDescent="0.25">
      <c r="A100" s="3"/>
      <c r="B100" s="3" t="s">
        <v>246</v>
      </c>
      <c r="C100" s="3" t="s">
        <v>247</v>
      </c>
      <c r="D100" s="3" t="s">
        <v>107</v>
      </c>
      <c r="E100" s="4" t="s">
        <v>248</v>
      </c>
    </row>
    <row r="101" spans="1:5" ht="18" customHeight="1" x14ac:dyDescent="0.25">
      <c r="A101" s="6"/>
      <c r="B101" s="6" t="s">
        <v>249</v>
      </c>
      <c r="C101" s="6" t="s">
        <v>107</v>
      </c>
      <c r="D101" s="6" t="s">
        <v>107</v>
      </c>
      <c r="E101" s="5" t="s">
        <v>250</v>
      </c>
    </row>
    <row r="102" spans="1:5" ht="18" customHeight="1" x14ac:dyDescent="0.25">
      <c r="A102" s="3"/>
      <c r="B102" s="3" t="s">
        <v>251</v>
      </c>
      <c r="C102" s="3" t="s">
        <v>107</v>
      </c>
      <c r="D102" s="3" t="s">
        <v>107</v>
      </c>
      <c r="E102" s="4" t="s">
        <v>252</v>
      </c>
    </row>
    <row r="104" spans="1:5" ht="27.95" customHeight="1" x14ac:dyDescent="0.25">
      <c r="A104" s="21" t="s">
        <v>253</v>
      </c>
      <c r="B104" s="13"/>
      <c r="C104" s="13"/>
      <c r="D104" s="13"/>
      <c r="E104" s="14"/>
    </row>
    <row r="105" spans="1:5" ht="18" customHeight="1" x14ac:dyDescent="0.25">
      <c r="A105" s="3"/>
      <c r="B105" s="3" t="s">
        <v>90</v>
      </c>
      <c r="C105" s="3" t="s">
        <v>254</v>
      </c>
      <c r="D105" s="3" t="s">
        <v>255</v>
      </c>
      <c r="E105" s="4" t="s">
        <v>129</v>
      </c>
    </row>
    <row r="106" spans="1:5" ht="18" customHeight="1" x14ac:dyDescent="0.25">
      <c r="A106" s="6"/>
      <c r="B106" s="6" t="s">
        <v>256</v>
      </c>
      <c r="C106" s="6" t="s">
        <v>257</v>
      </c>
      <c r="D106" s="6" t="s">
        <v>258</v>
      </c>
      <c r="E106" s="5" t="s">
        <v>156</v>
      </c>
    </row>
    <row r="107" spans="1:5" ht="18" customHeight="1" x14ac:dyDescent="0.25">
      <c r="A107" s="3"/>
      <c r="B107" s="3" t="s">
        <v>259</v>
      </c>
      <c r="C107" s="3" t="s">
        <v>260</v>
      </c>
      <c r="D107" s="3" t="s">
        <v>261</v>
      </c>
      <c r="E107" s="4" t="s">
        <v>156</v>
      </c>
    </row>
    <row r="108" spans="1:5" ht="18" customHeight="1" x14ac:dyDescent="0.25">
      <c r="A108" s="6"/>
      <c r="B108" s="6" t="s">
        <v>262</v>
      </c>
      <c r="C108" s="6" t="s">
        <v>263</v>
      </c>
      <c r="D108" s="6" t="s">
        <v>264</v>
      </c>
      <c r="E108" s="5" t="s">
        <v>156</v>
      </c>
    </row>
    <row r="109" spans="1:5" ht="18" customHeight="1" x14ac:dyDescent="0.25">
      <c r="A109" s="3"/>
      <c r="B109" s="3" t="s">
        <v>216</v>
      </c>
      <c r="C109" s="3" t="s">
        <v>265</v>
      </c>
      <c r="D109" s="3" t="s">
        <v>266</v>
      </c>
      <c r="E109" s="4" t="s">
        <v>156</v>
      </c>
    </row>
    <row r="110" spans="1:5" ht="18" customHeight="1" x14ac:dyDescent="0.25">
      <c r="A110" s="6"/>
      <c r="B110" s="6" t="s">
        <v>267</v>
      </c>
      <c r="C110" s="6" t="s">
        <v>268</v>
      </c>
      <c r="D110" s="6" t="s">
        <v>269</v>
      </c>
      <c r="E110" s="5" t="s">
        <v>156</v>
      </c>
    </row>
    <row r="111" spans="1:5" ht="18" customHeight="1" x14ac:dyDescent="0.25">
      <c r="A111" s="3"/>
      <c r="B111" s="3" t="s">
        <v>220</v>
      </c>
      <c r="C111" s="3" t="s">
        <v>270</v>
      </c>
      <c r="D111" s="3" t="s">
        <v>271</v>
      </c>
      <c r="E111" s="4" t="s">
        <v>156</v>
      </c>
    </row>
    <row r="112" spans="1:5" ht="18" customHeight="1" x14ac:dyDescent="0.25">
      <c r="A112" s="6"/>
      <c r="B112" s="6" t="s">
        <v>240</v>
      </c>
      <c r="C112" s="6" t="s">
        <v>272</v>
      </c>
      <c r="D112" s="6" t="s">
        <v>273</v>
      </c>
      <c r="E112" s="5" t="s">
        <v>156</v>
      </c>
    </row>
    <row r="113" spans="1:5" ht="18" customHeight="1" x14ac:dyDescent="0.25">
      <c r="A113" s="3"/>
      <c r="B113" s="3" t="s">
        <v>274</v>
      </c>
      <c r="C113" s="3" t="s">
        <v>275</v>
      </c>
      <c r="D113" s="3" t="s">
        <v>276</v>
      </c>
      <c r="E113" s="4" t="s">
        <v>156</v>
      </c>
    </row>
    <row r="114" spans="1:5" ht="18" customHeight="1" x14ac:dyDescent="0.25">
      <c r="A114" s="6"/>
      <c r="B114" s="6" t="s">
        <v>277</v>
      </c>
      <c r="C114" s="6" t="s">
        <v>107</v>
      </c>
      <c r="D114" s="6" t="s">
        <v>107</v>
      </c>
      <c r="E114" s="5" t="s">
        <v>278</v>
      </c>
    </row>
    <row r="115" spans="1:5" ht="18" customHeight="1" x14ac:dyDescent="0.25">
      <c r="A115" s="3"/>
      <c r="B115" s="3" t="s">
        <v>279</v>
      </c>
      <c r="C115" s="3" t="s">
        <v>107</v>
      </c>
      <c r="D115" s="3" t="s">
        <v>107</v>
      </c>
      <c r="E115" s="4" t="s">
        <v>280</v>
      </c>
    </row>
    <row r="116" spans="1:5" ht="18" customHeight="1" x14ac:dyDescent="0.25">
      <c r="A116" s="6"/>
      <c r="B116" s="6" t="s">
        <v>281</v>
      </c>
      <c r="C116" s="6" t="s">
        <v>107</v>
      </c>
      <c r="D116" s="6" t="s">
        <v>107</v>
      </c>
      <c r="E116" s="5" t="s">
        <v>282</v>
      </c>
    </row>
    <row r="117" spans="1:5" ht="18" customHeight="1" x14ac:dyDescent="0.25">
      <c r="A117" s="3"/>
      <c r="B117" s="3" t="s">
        <v>283</v>
      </c>
      <c r="C117" s="3" t="s">
        <v>107</v>
      </c>
      <c r="D117" s="3" t="s">
        <v>107</v>
      </c>
      <c r="E117" s="4" t="s">
        <v>284</v>
      </c>
    </row>
    <row r="118" spans="1:5" ht="18" customHeight="1" x14ac:dyDescent="0.25">
      <c r="A118" s="6"/>
      <c r="B118" s="6" t="s">
        <v>171</v>
      </c>
      <c r="C118" s="6" t="s">
        <v>107</v>
      </c>
      <c r="D118" s="6" t="s">
        <v>107</v>
      </c>
      <c r="E118" s="5" t="s">
        <v>172</v>
      </c>
    </row>
    <row r="120" spans="1:5" ht="27.95" customHeight="1" x14ac:dyDescent="0.25">
      <c r="A120" s="21" t="s">
        <v>285</v>
      </c>
      <c r="B120" s="13"/>
      <c r="C120" s="13"/>
      <c r="D120" s="13"/>
      <c r="E120" s="14"/>
    </row>
    <row r="121" spans="1:5" ht="18" customHeight="1" x14ac:dyDescent="0.25">
      <c r="A121" s="3"/>
      <c r="B121" s="3" t="s">
        <v>90</v>
      </c>
      <c r="C121" s="3" t="s">
        <v>224</v>
      </c>
      <c r="D121" s="3" t="s">
        <v>286</v>
      </c>
      <c r="E121" s="4" t="s">
        <v>156</v>
      </c>
    </row>
    <row r="122" spans="1:5" ht="18" customHeight="1" x14ac:dyDescent="0.25">
      <c r="A122" s="6"/>
      <c r="B122" s="6" t="s">
        <v>226</v>
      </c>
      <c r="C122" s="6" t="s">
        <v>227</v>
      </c>
      <c r="D122" s="6" t="s">
        <v>228</v>
      </c>
      <c r="E122" s="5" t="s">
        <v>189</v>
      </c>
    </row>
    <row r="123" spans="1:5" ht="18" customHeight="1" x14ac:dyDescent="0.25">
      <c r="A123" s="3"/>
      <c r="B123" s="3" t="s">
        <v>229</v>
      </c>
      <c r="C123" s="3" t="s">
        <v>107</v>
      </c>
      <c r="D123" s="3" t="s">
        <v>230</v>
      </c>
      <c r="E123" s="4" t="s">
        <v>156</v>
      </c>
    </row>
    <row r="124" spans="1:5" ht="18" customHeight="1" x14ac:dyDescent="0.25">
      <c r="A124" s="6"/>
      <c r="B124" s="6" t="s">
        <v>181</v>
      </c>
      <c r="C124" s="6" t="s">
        <v>287</v>
      </c>
      <c r="D124" s="6" t="s">
        <v>288</v>
      </c>
      <c r="E124" s="5" t="s">
        <v>156</v>
      </c>
    </row>
    <row r="125" spans="1:5" ht="18" customHeight="1" x14ac:dyDescent="0.25">
      <c r="A125" s="3"/>
      <c r="B125" s="3" t="s">
        <v>184</v>
      </c>
      <c r="C125" s="3" t="s">
        <v>289</v>
      </c>
      <c r="D125" s="3" t="s">
        <v>290</v>
      </c>
      <c r="E125" s="4" t="s">
        <v>156</v>
      </c>
    </row>
    <row r="126" spans="1:5" ht="18" customHeight="1" x14ac:dyDescent="0.25">
      <c r="A126" s="6"/>
      <c r="B126" s="6" t="s">
        <v>124</v>
      </c>
      <c r="C126" s="6" t="s">
        <v>107</v>
      </c>
      <c r="D126" s="6" t="s">
        <v>107</v>
      </c>
      <c r="E126" s="5" t="s">
        <v>291</v>
      </c>
    </row>
    <row r="127" spans="1:5" ht="18" customHeight="1" x14ac:dyDescent="0.25">
      <c r="A127" s="3"/>
      <c r="B127" s="3" t="s">
        <v>249</v>
      </c>
      <c r="C127" s="3" t="s">
        <v>107</v>
      </c>
      <c r="D127" s="3" t="s">
        <v>107</v>
      </c>
      <c r="E127" s="4" t="s">
        <v>292</v>
      </c>
    </row>
    <row r="128" spans="1:5" ht="18" customHeight="1" x14ac:dyDescent="0.25">
      <c r="A128" s="6"/>
      <c r="B128" s="6" t="s">
        <v>251</v>
      </c>
      <c r="C128" s="6" t="s">
        <v>107</v>
      </c>
      <c r="D128" s="6" t="s">
        <v>107</v>
      </c>
      <c r="E128" s="5" t="s">
        <v>293</v>
      </c>
    </row>
    <row r="130" spans="1:5" ht="27.95" customHeight="1" x14ac:dyDescent="0.25">
      <c r="A130" s="21" t="s">
        <v>294</v>
      </c>
      <c r="B130" s="13"/>
      <c r="C130" s="13"/>
      <c r="D130" s="13"/>
      <c r="E130" s="14"/>
    </row>
    <row r="131" spans="1:5" ht="18" customHeight="1" x14ac:dyDescent="0.25">
      <c r="A131" s="3"/>
      <c r="B131" s="3" t="s">
        <v>181</v>
      </c>
      <c r="C131" s="3" t="s">
        <v>295</v>
      </c>
      <c r="D131" s="3" t="s">
        <v>296</v>
      </c>
      <c r="E131" s="4" t="s">
        <v>132</v>
      </c>
    </row>
    <row r="132" spans="1:5" ht="18" customHeight="1" x14ac:dyDescent="0.25">
      <c r="A132" s="6"/>
      <c r="B132" s="6" t="s">
        <v>184</v>
      </c>
      <c r="C132" s="6" t="s">
        <v>297</v>
      </c>
      <c r="D132" s="6" t="s">
        <v>298</v>
      </c>
      <c r="E132" s="5" t="s">
        <v>132</v>
      </c>
    </row>
    <row r="133" spans="1:5" ht="18" customHeight="1" x14ac:dyDescent="0.25">
      <c r="A133" s="3"/>
      <c r="B133" s="3" t="s">
        <v>148</v>
      </c>
      <c r="C133" s="3" t="s">
        <v>299</v>
      </c>
      <c r="D133" s="3" t="s">
        <v>300</v>
      </c>
      <c r="E133" s="4" t="s">
        <v>129</v>
      </c>
    </row>
    <row r="134" spans="1:5" ht="18" customHeight="1" x14ac:dyDescent="0.25">
      <c r="A134" s="6"/>
      <c r="B134" s="6" t="s">
        <v>90</v>
      </c>
      <c r="C134" s="6" t="s">
        <v>301</v>
      </c>
      <c r="D134" s="6" t="s">
        <v>302</v>
      </c>
      <c r="E134" s="5" t="s">
        <v>129</v>
      </c>
    </row>
    <row r="135" spans="1:5" ht="18" customHeight="1" x14ac:dyDescent="0.25">
      <c r="A135" s="3"/>
      <c r="B135" s="3" t="s">
        <v>303</v>
      </c>
      <c r="C135" s="3" t="s">
        <v>304</v>
      </c>
      <c r="D135" s="3" t="s">
        <v>305</v>
      </c>
      <c r="E135" s="4" t="s">
        <v>132</v>
      </c>
    </row>
    <row r="136" spans="1:5" ht="18" customHeight="1" x14ac:dyDescent="0.25">
      <c r="A136" s="6"/>
      <c r="B136" s="6" t="s">
        <v>306</v>
      </c>
      <c r="C136" s="6" t="s">
        <v>307</v>
      </c>
      <c r="D136" s="6" t="s">
        <v>308</v>
      </c>
      <c r="E136" s="5" t="s">
        <v>132</v>
      </c>
    </row>
    <row r="137" spans="1:5" ht="18" customHeight="1" x14ac:dyDescent="0.25">
      <c r="A137" s="3"/>
      <c r="B137" s="3" t="s">
        <v>309</v>
      </c>
      <c r="C137" s="3" t="s">
        <v>221</v>
      </c>
      <c r="D137" s="3" t="s">
        <v>222</v>
      </c>
      <c r="E137" s="4" t="s">
        <v>132</v>
      </c>
    </row>
    <row r="138" spans="1:5" ht="18" customHeight="1" x14ac:dyDescent="0.25">
      <c r="A138" s="6"/>
      <c r="B138" s="6" t="s">
        <v>310</v>
      </c>
      <c r="C138" s="6" t="s">
        <v>311</v>
      </c>
      <c r="D138" s="6" t="s">
        <v>312</v>
      </c>
      <c r="E138" s="5" t="s">
        <v>129</v>
      </c>
    </row>
    <row r="139" spans="1:5" ht="18" customHeight="1" x14ac:dyDescent="0.25">
      <c r="A139" s="3"/>
      <c r="B139" s="3" t="s">
        <v>313</v>
      </c>
      <c r="C139" s="3" t="s">
        <v>107</v>
      </c>
      <c r="D139" s="3" t="s">
        <v>107</v>
      </c>
      <c r="E139" s="4" t="s">
        <v>314</v>
      </c>
    </row>
  </sheetData>
  <mergeCells count="14">
    <mergeCell ref="A120:E120"/>
    <mergeCell ref="A130:E130"/>
    <mergeCell ref="A104:E104"/>
    <mergeCell ref="A71:E71"/>
    <mergeCell ref="A1:E1"/>
    <mergeCell ref="A89:E89"/>
    <mergeCell ref="A79:E79"/>
    <mergeCell ref="A53:E53"/>
    <mergeCell ref="A12:E12"/>
    <mergeCell ref="A4:E4"/>
    <mergeCell ref="A65:E65"/>
    <mergeCell ref="A29:E29"/>
    <mergeCell ref="A20:E20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 Июнь 2026 БАЛХАШ</vt:lpstr>
      <vt:lpstr>Артикулы по моделям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Baurzhan</cp:lastModifiedBy>
  <dcterms:created xsi:type="dcterms:W3CDTF">2026-05-15T09:31:08Z</dcterms:created>
  <dcterms:modified xsi:type="dcterms:W3CDTF">2026-05-19T10:43:09Z</dcterms:modified>
</cp:coreProperties>
</file>